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4 Data Requirements" sheetId="1" state="visible" r:id="rId3"/>
    <sheet name="Events &amp; Delivery (Option D)" sheetId="2" state="visible" r:id="rId4"/>
    <sheet name="Decisions &amp; Open Items" sheetId="3" state="visible" r:id="rId5"/>
    <sheet name="Event Enablement (Dev Today)" sheetId="4" state="visible" r:id="rId6"/>
    <sheet name="Field System Requirements" sheetId="5" state="visible" r:id="rId7"/>
    <sheet name="Tech Spec Tracker" sheetId="6" state="visible" r:id="rId8"/>
    <sheet name="Payload Definitions (Draft)" sheetId="7" state="visible" r:id="rId9"/>
    <sheet name="Cost Data Handling" sheetId="8" state="visible" r:id="rId10"/>
    <sheet name="Cost Extract Gap Analysis"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<sst xmlns="http://schemas.openxmlformats.org/spreadsheetml/2006/main" count="577" uniqueCount="434">
  <si>
    <t xml:space="preserve">S/4 outbound data requirements by field system</t>
  </si>
  <si>
    <t xml:space="preserve">Based on the whiteboard session 11/08/2026. Change detection: S/4 business events via Event Mesh where an event exists, otherwise a timed API check. CPI reads the record from the released APIs and pushes it to each subscribed system. No custom development in S/4. Prepared 13/08/2026 for Deloitte (William Soehendra).</t>
  </si>
  <si>
    <t xml:space="preserve">#</t>
  </si>
  <si>
    <t xml:space="preserve">Data need (whiteboard 11/08)</t>
  </si>
  <si>
    <t xml:space="preserve">FSM receives (payload)</t>
  </si>
  <si>
    <t xml:space="preserve">Trigger / frequency (board)</t>
  </si>
  <si>
    <t xml:space="preserve">S/4HANA registered query (released API)</t>
  </si>
  <si>
    <t xml:space="preserve">JAMS</t>
  </si>
  <si>
    <t xml:space="preserve">ODM</t>
  </si>
  <si>
    <t xml:space="preserve">Wireless</t>
  </si>
  <si>
    <t xml:space="preserve">ITSM</t>
  </si>
  <si>
    <t xml:space="preserve">Defence</t>
  </si>
  <si>
    <t xml:space="preserve">PIMS</t>
  </si>
  <si>
    <t xml:space="preserve">Marsa</t>
  </si>
  <si>
    <t xml:space="preserve">Service Order</t>
  </si>
  <si>
    <t xml:space="preserve">Serv Ord + Job (SAP)</t>
  </si>
  <si>
    <t xml:space="preserve">Event: ServiceOrder Released / ChgdWhenReleased / Completed. No generic Created/Changed event exists</t>
  </si>
  <si>
    <t xml:space="preserve">/serviceorders</t>
  </si>
  <si>
    <t xml:space="preserve">Later</t>
  </si>
  <si>
    <t xml:space="preserve">TBC</t>
  </si>
  <si>
    <t xml:space="preserve">Event</t>
  </si>
  <si>
    <t xml:space="preserve">No</t>
  </si>
  <si>
    <t xml:space="preserve">File (TBC)</t>
  </si>
  <si>
    <t xml:space="preserve">WBS</t>
  </si>
  <si>
    <t xml:space="preserve">WBS + Job (SAP)</t>
  </si>
  <si>
    <t xml:space="preserve">Timed check: no released enterprise project event found; delta poll on LastChangeDateTime (confirm in Business Event Subscription app)</t>
  </si>
  <si>
    <t xml:space="preserve">/enterpriseprojects — project + WBS ($expand)</t>
  </si>
  <si>
    <t xml:space="preserve">Purchase Order</t>
  </si>
  <si>
    <t xml:space="preserve">Purch Ord + Job &amp; Activity (SAP)</t>
  </si>
  <si>
    <t xml:space="preserve">Event: PurchaseOrder Created. Changed event to confirm in the tenant catalog</t>
  </si>
  <si>
    <t xml:space="preserve">Purchase order list — header, items, history</t>
  </si>
  <si>
    <t xml:space="preserve">RCTI</t>
  </si>
  <si>
    <t xml:space="preserve">Inv + Job (SAP)</t>
  </si>
  <si>
    <t xml:space="preserve">Event on invoice posting (SupplierInvoice topic to confirm). Payment status: separate timed check on clearing; no payment event exists</t>
  </si>
  <si>
    <t xml:space="preserve">/RCTI — supplier invoice, payment status</t>
  </si>
  <si>
    <t xml:space="preserve">Cost Data</t>
  </si>
  <si>
    <t xml:space="preserve">Labour · Equipment/Plant · Proc · Material Usage — each + Job ID (WBS); lines from a service transaction also carry the service order reference</t>
  </si>
  <si>
    <t xml:space="preserve">Timed delta extract: no journal entry event exists; several source documents post into the journal. See the 'Cost Data Handling' tab</t>
  </si>
  <si>
    <t xml:space="preserve">/journalentry — cost and quantity by account assignment (WBS = Job; service order where present)</t>
  </si>
  <si>
    <t xml:space="preserve">Timed</t>
  </si>
  <si>
    <t xml:space="preserve">Stock</t>
  </si>
  <si>
    <t xml:space="preserve">Material, inventory quantity, storage location — written to the existing stores (JAMS database direct; S3 database for SNOW ITSM Telco / OFSC)</t>
  </si>
  <si>
    <t xml:space="preserve">Batch push about every 15 min under KDD-3 (ETF-943). Not part of the event flow (crossed out on the whiteboard)</t>
  </si>
  <si>
    <t xml:space="preserve">Product Master (API_PRODUCT_SRV) + Material Stock (API_MATERIAL_STOCK_SRV / I_MaterialStock)</t>
  </si>
  <si>
    <t xml:space="preserve">Batch</t>
  </si>
  <si>
    <t xml:space="preserve">Supplier</t>
  </si>
  <si>
    <t xml:space="preserve">Supplier master via direct integration: Beakon → Redshift → Boomi → JAMS</t>
  </si>
  <si>
    <t xml:space="preserve">Direct path outside the S/4/CPI distribution layer. The S/4 BusinessPartner Changed event is available if S/4 supplier data is needed later</t>
  </si>
  <si>
    <t xml:space="preserve">n/a — not sourced from S/4 for JAMS</t>
  </si>
  <si>
    <t xml:space="preserve">Direct</t>
  </si>
  <si>
    <t xml:space="preserve">Claims / Inv</t>
  </si>
  <si>
    <t xml:space="preserve">Inv + Job</t>
  </si>
  <si>
    <t xml:space="preserve">Event not confirmed: no billing document event verified in the catalog; plan a timed check on /invoicebilling unless the tenant catalog shows one. Payment status: separate timed check</t>
  </si>
  <si>
    <t xml:space="preserve">/invoicebilling</t>
  </si>
  <si>
    <t xml:space="preserve">Open items (TBC) per system:</t>
  </si>
  <si>
    <t xml:space="preserve">Legend</t>
  </si>
  <si>
    <t xml:space="preserve">Event-driven push: S/4 business event → Event Mesh queue → CPI reads the full record fresh from S/4 → pushes to the FSM's receiving service. No FSM scheduling, fetching or filtering.</t>
  </si>
  <si>
    <t xml:space="preserve">Same CPI push to the FSM, but change detection is a scheduled delta check on the API because S/4 publishes no business event for that object.</t>
  </si>
  <si>
    <t xml:space="preserve">Requirement confirmed but deferred to a later phase.</t>
  </si>
  <si>
    <t xml:space="preserve">Open — shown in red. Needs confirmation from the system owner / Deloitte before the design is locked.</t>
  </si>
  <si>
    <t xml:space="preserve">System does not need this data.</t>
  </si>
  <si>
    <t xml:space="preserve">File</t>
  </si>
  <si>
    <t xml:space="preserve">Non-core system delivery: CPI drops a file into a key-based SFTP folder (batched or per event — to be set in the CPI-Filedrop spec); the system's existing import consumes it.</t>
  </si>
  <si>
    <t xml:space="preserve">Scheduled batch replication (~15 min) into the system's existing store — used only for Stock under KDD-3 (ETF-943): CPI extract to the JAMS database and the S3 database; FSMs keep reading their own stores, never S/4.</t>
  </si>
  <si>
    <t xml:space="preserve">Supplier only: direct integration Beakon → Redshift → Boomi → JAMS, outside the S/4/CPI distribution layer.</t>
  </si>
  <si>
    <t xml:space="preserve">PIMS / Marsa: likely file/batch delivery, but data needs, format and batching frequency are not yet confirmed — shown in red until the owners confirm.</t>
  </si>
  <si>
    <t xml:space="preserve">Pull*</t>
  </si>
  <si>
    <t xml:space="preserve">Exception only: a system with no interface fetches from the existing pull endpoint on its own schedule (see the field system requirements tab).</t>
  </si>
  <si>
    <t xml:space="preserve">Source: Apollo whiteboard session 11/08/2026 (photo 20260811_140243 — SAP → FSM baseline, red marker) plus the Option D slides 13/08/2026. Red text marks whiteboard items and points still to confirm. TBC cells are the open items to be confirmed with each FSM owner and Deloitte.</t>
  </si>
  <si>
    <t xml:space="preserve">CPI distribution layer (Option D)</t>
  </si>
  <si>
    <t xml:space="preserve">CPI detects each change once and delivers it to every subscribed system. Field systems do not schedule, fetch or filter. CPI stores no business data. The existing pull endpoint remains only for systems with no interface.</t>
  </si>
  <si>
    <t xml:space="preserve">Step</t>
  </si>
  <si>
    <t xml:space="preserve">Distribution layer component</t>
  </si>
  <si>
    <t xml:space="preserve">What it does</t>
  </si>
  <si>
    <t xml:space="preserve">Build / Config</t>
  </si>
  <si>
    <t xml:space="preserve">Notes</t>
  </si>
  <si>
    <t xml:space="preserve">1–2</t>
  </si>
  <si>
    <t xml:space="preserve">Event detection (Enterprise Event Enablement)</t>
  </si>
  <si>
    <t xml:space="preserve">S/4 business events raised on change — channel EMIS_COM_0092 active. Event types: service orders, projects, invoices, POs, goods movements. Event queues monitored (Event_POC, s4h-dev-ses-events). Fallback: timed check on the APIs where no event exists.</t>
  </si>
  <si>
    <t xml:space="preserve">BUILD</t>
  </si>
  <si>
    <t xml:space="preserve">Change detected by event, or by a timed API check where no event exists.</t>
  </si>
  <si>
    <t xml:space="preserve">3–4</t>
  </si>
  <si>
    <t xml:space="preserve">Message builder</t>
  </si>
  <si>
    <t xml:space="preserve">Reads the full record from S/4 via the released OData APIs and wraps it in the one standard message with its tracking reference.</t>
  </si>
  <si>
    <t xml:space="preserve">The event only signals the change. CPI reads the full record from S/4; the event payload is not used as data.</t>
  </si>
  <si>
    <t xml:space="preserve">5</t>
  </si>
  <si>
    <t xml:space="preserve">Subscription list</t>
  </si>
  <si>
    <t xml:space="preserve">Who gets what, for which contracts — plain configuration under change control.</t>
  </si>
  <si>
    <t xml:space="preserve">CONFIG</t>
  </si>
  <si>
    <t xml:space="preserve">Each system receives only its own data.</t>
  </si>
  <si>
    <t xml:space="preserve">Router</t>
  </si>
  <si>
    <t xml:space="preserve">One copy per matching system, placed on that system's queue.</t>
  </si>
  <si>
    <t xml:space="preserve">6</t>
  </si>
  <si>
    <t xml:space="preserve">Queue per system</t>
  </si>
  <si>
    <t xml:space="preserve">Retries automatically; failures park on an error queue and alert a named owner.</t>
  </si>
  <si>
    <t xml:space="preserve">Delivery senders</t>
  </si>
  <si>
    <t xml:space="preserve">One per system: JAMS, SN ITSM, SN Defence, Sitetracker, file.</t>
  </si>
  <si>
    <t xml:space="preserve">—</t>
  </si>
  <si>
    <t xml:space="preserve">Error logging</t>
  </si>
  <si>
    <t xml:space="preserve">Extends the existing log — one view for both directions of integration.</t>
  </si>
  <si>
    <t xml:space="preserve">EXTEND</t>
  </si>
  <si>
    <t xml:space="preserve">Re-send tool</t>
  </si>
  <si>
    <t xml:space="preserve">Re-send an error queue after recovery, or a whole date range — also does first loads.</t>
  </si>
  <si>
    <t xml:space="preserve">How each field system receives</t>
  </si>
  <si>
    <t xml:space="preserve">Field system</t>
  </si>
  <si>
    <t xml:space="preserve">Receives via</t>
  </si>
  <si>
    <t xml:space="preserve">Web service call (JAMS's six small receiving services — the only FSM-side development).</t>
  </si>
  <si>
    <t xml:space="preserve">ServiceNow ITSM / Defence</t>
  </si>
  <si>
    <t xml:space="preserve">Built-in import interface.</t>
  </si>
  <si>
    <t xml:space="preserve">Sitetracker</t>
  </si>
  <si>
    <t xml:space="preserve">Standard Salesforce interface.</t>
  </si>
  <si>
    <t xml:space="preserve">System with no interface</t>
  </si>
  <si>
    <t xml:space="preserve">File drop — or it fetches from the existing pull endpoint.</t>
  </si>
  <si>
    <t xml:space="preserve">BUILD = development in CPI, assembled from standard delivered pieces. CONFIG = configuration only. EXTEND = existing part extended. Six parts are development, three are configuration, one extends what already exists. All from standard S/4HANA released APIs — no custom development in S/4.</t>
  </si>
  <si>
    <t xml:space="preserve">Decisions and open items</t>
  </si>
  <si>
    <t xml:space="preserve">Decisions from the whiteboard sessions and slides. Open items are the TBC cells on the requirements matrix.</t>
  </si>
  <si>
    <t xml:space="preserve">Decision</t>
  </si>
  <si>
    <t xml:space="preserve">Detail</t>
  </si>
  <si>
    <t xml:space="preserve">Status</t>
  </si>
  <si>
    <t xml:space="preserve">Delivery model is event-driven push, end to end</t>
  </si>
  <si>
    <t xml:space="preserve">Updated 13/08: S/4 business events (Enterprise Event Enablement, channel EMIS_COM_0092) → Event Mesh intake queues → CPI message builder reads the full record from the released APIs → CPI pushes to each FSM's receiving service. FSMs do no scheduling, fetching or filtering.</t>
  </si>
  <si>
    <t xml:space="preserve">Decided</t>
  </si>
  <si>
    <t xml:space="preserve">Existing pull endpoint kept only for systems with no interface</t>
  </si>
  <si>
    <t xml:space="preserve">The Option B pull interface stays and is reused — but only for a system with no interface, which fetches on its own schedule. It is no longer the delivery path for JAMS or the other FSMs.</t>
  </si>
  <si>
    <t xml:space="preserve">No data hub in JAMS</t>
  </si>
  <si>
    <t xml:space="preserve">JAMS is not a data hub. CPI is the distribution layer; JAMS receives only its own data like every other field system.</t>
  </si>
  <si>
    <t xml:space="preserve">CPI reads the full record fresh from S/4</t>
  </si>
  <si>
    <t xml:space="preserve">The business event only signals a change (or a timed check where no event exists). The message builder always re-reads the full record from the released OData APIs — the event payload is never used as data.</t>
  </si>
  <si>
    <t xml:space="preserve">Each system gets only its own data</t>
  </si>
  <si>
    <t xml:space="preserve">The subscription list and router deliver one copy per matching system, filtered by contract. No system receives another system's data.</t>
  </si>
  <si>
    <t xml:space="preserve">CPI stores no business data</t>
  </si>
  <si>
    <t xml:space="preserve">The distribution layer is stateless: queues, routing and delivery only. No persistence of business records in BTP/CPI.</t>
  </si>
  <si>
    <t xml:space="preserve">No custom development in S/4</t>
  </si>
  <si>
    <t xml:space="preserve">All data needs are met by standard S/4HANA released APIs (registered queries) exposed through CPI. S/4 is configuration only.</t>
  </si>
  <si>
    <t xml:space="preserve">SERA/Beacon ID ↔ IFS/Job mapping held in SAP</t>
  </si>
  <si>
    <t xml:space="preserve">SAP holds both the SERA ID and the IFS/Job reference, so IFS/Job maps to SERA/Beacon ID via SAP. Every outbound payload can therefore carry the Job reference the FSM understands.</t>
  </si>
  <si>
    <t xml:space="preserve">Status of payment is a separate trigger</t>
  </si>
  <si>
    <t xml:space="preserve">For RCTI (#4) and Claims/Invoice (#8): the invoice + job is delivered on one trigger; the status-of-payment update is delivered as its own separate trigger.</t>
  </si>
  <si>
    <t xml:space="preserve">Stock handled under separate KDD-3 (ETF-943) — not in the event flow</t>
  </si>
  <si>
    <t xml:space="preserve">Stock is excluded from the event flow and handled under KDD-3 (FSM Material Consumption &amp; Stock Availability, 22/07/2026): push-based batch distribution ~every 15 min — one CPI extract from Product Master + Material Stock APIs to both existing stores (S3 database for SNOW ITSM Telco / OFSC, replacing the IFS feed; JAMS database direct, replacing the Jobpac feed). Plus layered posting-failure prevention (ETF-987): capture-time validation, selective negative stock (103183, field-facing locations, Finance sign-off), async 261/262 with bounded retry. ARB decisions D1–D3 pending 22/07 session; D4 delivery targets to be confirmed by Deloitte (Karan Bhatia) before FS.</t>
  </si>
  <si>
    <t xml:space="preserve">Supplier to JAMS via direct integration (not S/4/CPI)</t>
  </si>
  <si>
    <t xml:space="preserve">Supplier master flows Beakon → Redshift → Boomi → JAMS as a direct integration outside the S/4 distribution layer. Supplier for the other FSMs remains an open item.</t>
  </si>
  <si>
    <t xml:space="preserve">Reversals sent as separate negative lines (Option 1)</t>
  </si>
  <si>
    <t xml:space="preserve">Meeting 17/08 (Karan Bhatia): a reversal or correction flows to the FSM as its own line with a negative amount (e.g. 18.08 Lab1 -$10), not netted away (Option 2 declined). The journal IsReversal / IsReversed flags are carried on the line so the FSM can tell a reversal from a new cost.</t>
  </si>
  <si>
    <t xml:space="preserve">Cost data split into four elements</t>
  </si>
  <si>
    <t xml:space="preserve">Cost Data (#5) splits into Labour, Equipment/Plant, Proc and Material Usage — each delivered with its Job ID, on a separate trigger.</t>
  </si>
  <si>
    <t xml:space="preserve">Open items — to be confirmed</t>
  </si>
  <si>
    <t xml:space="preserve">Open item</t>
  </si>
  <si>
    <t xml:space="preserve">Owner / action</t>
  </si>
  <si>
    <t xml:space="preserve">PIMS and Marsa (non-core) — file/batch requirements not confirmed</t>
  </si>
  <si>
    <t xml:space="preserve">Both are expected to take file delivery via the CPI file drop (key-based SFTP) because they have no core strategic interface. Confirm with each owner: which data needs apply, file format, and batching frequency (batched vs per event). Feeds the CPI-Filedrop spec (Rajesh).</t>
  </si>
  <si>
    <t xml:space="preserve">Open</t>
  </si>
  <si>
    <t xml:space="preserve">Cost data — account assignment model and service order link</t>
  </si>
  <si>
    <t xml:space="preserve">Confirm with Finance/Deloitte whether service-related costs post to the service order item (settling to WBS) or directly to WBS. Either way the extract keys on WBS as the job join and carries the service order reference where the posting came from a service transaction; confirm the exact field on the journal entry API.</t>
  </si>
  <si>
    <t xml:space="preserve">Stock (KDD-3) — open items before FS</t>
  </si>
  <si>
    <t xml:space="preserve">Delivery-target confirmation (D4, Deloitte), price descope exit condition (D5), refresh frequency, API behaviour of the negative stock setting, van/warehouse location separation. ARB D1–D3 outcome to be recorded.</t>
  </si>
  <si>
    <t xml:space="preserve">Supplier (#7) for other FSMs — confirm whether needed</t>
  </si>
  <si>
    <t xml:space="preserve">JAMS is resolved (direct Beakon → Redshift → Boomi path). Confirm whether ODM, Wireless, ITSM or Defence need supplier data at all; if yes, source and path to be agreed (S/4 BusinessPartner event is available).</t>
  </si>
  <si>
    <t xml:space="preserve">ODM, Wireless and Defence data needs are largely TBC</t>
  </si>
  <si>
    <t xml:space="preserve">Confirm with each FSM owner which of the eight data needs apply — see red TBC cells on the matrix.</t>
  </si>
  <si>
    <t xml:space="preserve">Enterprise project and Service order for JAMS are 'Later'</t>
  </si>
  <si>
    <t xml:space="preserve">Confirm target phase with JAMS owner; not in first delivery scope.</t>
  </si>
  <si>
    <t xml:space="preserve">Registered query availability to be validated by Deloitte</t>
  </si>
  <si>
    <t xml:space="preserve">Deloitte to confirm each S/4HANA registered query (released API) listed on the matrix is available in our release and exposed through CPI without custom S/4 development.</t>
  </si>
  <si>
    <t xml:space="preserve">Event coverage per data need</t>
  </si>
  <si>
    <t xml:space="preserve">Confirm which data needs have a business event (channel EMIS_COM_0092) and which fall back to the timed API check.</t>
  </si>
  <si>
    <t xml:space="preserve">Enterprise Event Enablement — Current State in Dev (as at 13/08/2026)</t>
  </si>
  <si>
    <t xml:space="preserve">Evidence from S/4HANA Cloud channel monitor (EMIS_COM_0092) and SAP Integration Suite Event Mesh (non-prod). The event path works in dev; the six intake queues are the next configuration step.</t>
  </si>
  <si>
    <t xml:space="preserve">Channel EMIS_COM_0092 — Outbound Events (all Acknowledged)</t>
  </si>
  <si>
    <t xml:space="preserve">Outbound event topic</t>
  </si>
  <si>
    <t xml:space="preserve">Events sent</t>
  </si>
  <si>
    <t xml:space="preserve">ssm/s4h/dev/ce/sap/eee/iwxbe/testproducer/v1/Event/Created/v1</t>
  </si>
  <si>
    <t xml:space="preserve">Acknowledged</t>
  </si>
  <si>
    <t xml:space="preserve">ssm/s4h/dev/ce/sap/s4/beh/businesspartner/v1/BusinessPartner/Changed/v1</t>
  </si>
  <si>
    <t xml:space="preserve">ssm/s4h/dev/ce/sap/s4/beh/serviceentrysheet/v1/ServiceEntrySheet/Changed/v1</t>
  </si>
  <si>
    <t xml:space="preserve">Outbound Event History: Enabled = No · Retention Period = 50 days. Source: S/4HANA Cloud (my435863), Channel Event Statistic for EMIS_COM_0092, Customizing FLA/100.</t>
  </si>
  <si>
    <t xml:space="preserve">Event Mesh queues — today (non-prod Integration Suite)</t>
  </si>
  <si>
    <t xml:space="preserve">Queue name</t>
  </si>
  <si>
    <t xml:space="preserve">Messages queued / unacknowledged</t>
  </si>
  <si>
    <t xml:space="preserve">Access type</t>
  </si>
  <si>
    <t xml:space="preserve">ssm/s4h/dev/Event_POC</t>
  </si>
  <si>
    <t xml:space="preserve">0 / 0</t>
  </si>
  <si>
    <t xml:space="preserve">NON EXCLUSIVE</t>
  </si>
  <si>
    <t xml:space="preserve">ssm/s4h/dev/s4h-dev-ses-events</t>
  </si>
  <si>
    <t xml:space="preserve">To be created — six intake queues (one per data need)</t>
  </si>
  <si>
    <t xml:space="preserve">Same settings everywhere except DMQ = ssm/s4h/dev/dmq and Max Redelivery = 5.</t>
  </si>
  <si>
    <t xml:space="preserve">Feeds (subscribed systems)</t>
  </si>
  <si>
    <t xml:space="preserve">ssm/s4h/dev/service-order-events</t>
  </si>
  <si>
    <t xml:space="preserve">JAMS, SNOW ITSM</t>
  </si>
  <si>
    <t xml:space="preserve">To create</t>
  </si>
  <si>
    <t xml:space="preserve">ssm/s4h/dev/enterprise-project-events</t>
  </si>
  <si>
    <t xml:space="preserve">Per matrix — TBC</t>
  </si>
  <si>
    <t xml:space="preserve">ssm/s4h/dev/customer-invoice-events</t>
  </si>
  <si>
    <t xml:space="preserve">ssm/s4h/dev/supplier-invoice-events</t>
  </si>
  <si>
    <t xml:space="preserve">ssm/s4h/dev/purchase-order-events</t>
  </si>
  <si>
    <t xml:space="preserve">ssm/s4h/dev/stock-events</t>
  </si>
  <si>
    <t xml:space="preserve">Subscribed-system mapping per queue follows the TBC confirmations on the 'S4 Data Requirements' tab.</t>
  </si>
  <si>
    <t xml:space="preserve">Field system requirements</t>
  </si>
  <si>
    <t xml:space="preserve">What each field system must provide. JAMS is the only system with development work.</t>
  </si>
  <si>
    <t xml:space="preserve">System</t>
  </si>
  <si>
    <t xml:space="preserve">Interface it must provide or allow</t>
  </si>
  <si>
    <t xml:space="preserve">Login</t>
  </si>
  <si>
    <t xml:space="preserve">Saving rule it must apply</t>
  </si>
  <si>
    <t xml:space="preserve">Development needed</t>
  </si>
  <si>
    <t xml:space="preserve">One receiving web service base — one address per kind of data (detail below).</t>
  </si>
  <si>
    <t xml:space="preserve">Issue an OAuth 2.0 system user for CPI (certificate fallback).</t>
  </si>
  <si>
    <t xml:space="preserve">Create-or-update matched on the S/4 document number; keep the newer change; reply saved (200) or rejected + reason (400).</t>
  </si>
  <si>
    <t xml:space="preserve">Yes — the six services. Nothing else: no scheduler, no fetching, no filtering, no retry logic.</t>
  </si>
  <si>
    <t xml:space="preserve">ServiceNow ITSM</t>
  </si>
  <si>
    <t xml:space="preserve">6 receiving web services (pre-defined format). Its built-in import interface: one staging table + transform map per kind of data.</t>
  </si>
  <si>
    <t xml:space="preserve">OAuth 2.0 integration user.</t>
  </si>
  <si>
    <t xml:space="preserve">The transform map matches on the S/4 key — built-in create-or-update.</t>
  </si>
  <si>
    <t xml:space="preserve">None — administrator configuration.</t>
  </si>
  <si>
    <t xml:space="preserve">ServiceNow Defence</t>
  </si>
  <si>
    <t xml:space="preserve">6 receiving web services (pre-defined format). Same as ITSM on its own instance.</t>
  </si>
  <si>
    <t xml:space="preserve">Separate OAuth 2.0 user.</t>
  </si>
  <si>
    <t xml:space="preserve">Same — and it can only ever be sent Defence-contract data (enforced in CPI).</t>
  </si>
  <si>
    <t xml:space="preserve">Sitetracker (ODM / Wireless)</t>
  </si>
  <si>
    <t xml:space="preserve">The standard Salesforce interface it is built on: an external-ID field per kind of data.</t>
  </si>
  <si>
    <t xml:space="preserve">OAuth 2.0 connected app + integration user.</t>
  </si>
  <si>
    <t xml:space="preserve">Salesforce saves on the external ID = S/4 document number — built-in create-or-update.</t>
  </si>
  <si>
    <t xml:space="preserve">System with an import job</t>
  </si>
  <si>
    <t xml:space="preserve">A folder CPI can drop files into (key-based SFTP).</t>
  </si>
  <si>
    <t xml:space="preserve">SFTP key.</t>
  </si>
  <si>
    <t xml:space="preserve">Its existing import consumes the folder.</t>
  </si>
  <si>
    <t xml:space="preserve">None — repoint the existing import.</t>
  </si>
  <si>
    <t xml:space="preserve">PIMS / Marsa (non-core)</t>
  </si>
  <si>
    <t xml:space="preserve">File delivery via the CPI file drop (key-based SFTP folder) — batched or per event, to be set in the CPI-Filedrop spec. Data needs, file format and frequency TBC with system owners.</t>
  </si>
  <si>
    <t xml:space="preserve">Their existing import consumes the folder (to be confirmed).</t>
  </si>
  <si>
    <t xml:space="preserve">None expected — confirm each system's import capability.</t>
  </si>
  <si>
    <t xml:space="preserve">System with nothing</t>
  </si>
  <si>
    <t xml:space="preserve">Nothing — it fetches from the existing pull endpoint on its own schedule.</t>
  </si>
  <si>
    <t xml:space="preserve">OAuth 2.0.</t>
  </si>
  <si>
    <t xml:space="preserve">Its own — it schedules its own fetches.</t>
  </si>
  <si>
    <t xml:space="preserve">Its own fetch client.</t>
  </si>
  <si>
    <t xml:space="preserve">JAMS interface definition — the six services</t>
  </si>
  <si>
    <t xml:space="preserve">Addresses</t>
  </si>
  <si>
    <t xml:space="preserve">One base service, one path per kind of data — e.g. /api/s4/service-orders · /api/s4/projects · /api/s4/customer-invoices · /api/s4/supplier-invoices · /api/s4/time-equipment · /api/s4/stock. The names are JAMS's choice; CPI treats them as configuration. Per-path so each kind of data gets its own field checking, access control and error messages, and one kind can change without touching the others.</t>
  </si>
  <si>
    <t xml:space="preserve">Request</t>
  </si>
  <si>
    <t xml:space="preserve">HTTPS POST, JSON body = the tracking fields (message ID, correlation ID, record ID, contract, changed-at, format version) + the record's fields per the agreed field list. One record per call. TLS required.</t>
  </si>
  <si>
    <t xml:space="preserve">Behaviour</t>
  </si>
  <si>
    <t xml:space="preserve">Create if new, update if existing — matched on the S/4 document number. If the stored record is newer than the message (changed-at comparison), keep the stored one and still reply saved. Reply within 30 seconds: 200 = saved · 400 = rejected with a reason naming the field · anything else or no answer = CPI retries automatically.</t>
  </si>
  <si>
    <t xml:space="preserve">Agreed before build</t>
  </si>
  <si>
    <t xml:space="preserve">The six field lists (one per kind of data), the six paths, and the login method — written down and signed off by the JAMS team and the CPI team. These become appendices of the build specification.</t>
  </si>
  <si>
    <t xml:space="preserve">Technical Specifications Required — Owners and Content</t>
  </si>
  <si>
    <t xml:space="preserve">Per Ian Gilmour (Teams, 13/08/2026): one SAP-CPI spec plus one spec per CPI-to-system interface, built from Chamila's template. Status to be updated as specs are drafted.</t>
  </si>
  <si>
    <t xml:space="preserve">Technical spec</t>
  </si>
  <si>
    <t xml:space="preserve">Owner</t>
  </si>
  <si>
    <t xml:space="preserve">Scope / content</t>
  </si>
  <si>
    <t xml:space="preserve">SAP-CPI (core)</t>
  </si>
  <si>
    <t xml:space="preserve">Thauriq / Will</t>
  </si>
  <si>
    <t xml:space="preserve">SAP to CPI · CPI to queues to subscription to system delivery · the SAP 8 endpoints (one registered query per data need on the matrix).</t>
  </si>
  <si>
    <t xml:space="preserve">Not started</t>
  </si>
  <si>
    <t xml:space="preserve">CPI-JAMS</t>
  </si>
  <si>
    <t xml:space="preserve">Trajce</t>
  </si>
  <si>
    <t xml:space="preserve">Per-system spec from template — covers JAMS's six receiving services.</t>
  </si>
  <si>
    <t xml:space="preserve">CPI-ServiceNow ITSM</t>
  </si>
  <si>
    <t xml:space="preserve">Chamila</t>
  </si>
  <si>
    <t xml:space="preserve">Per-system spec from template.</t>
  </si>
  <si>
    <t xml:space="preserve">CPI-ServiceNow Defence</t>
  </si>
  <si>
    <t xml:space="preserve">Per-system spec from template — Defence-contract data only (enforced in CPI).</t>
  </si>
  <si>
    <t xml:space="preserve">CPI-Sitetracker ODM</t>
  </si>
  <si>
    <t xml:space="preserve">Rajesh / Jackie</t>
  </si>
  <si>
    <t xml:space="preserve">Per-system spec from template — Salesforce external-ID interface.</t>
  </si>
  <si>
    <t xml:space="preserve">CPI-Sitetracker Wireless</t>
  </si>
  <si>
    <t xml:space="preserve">CPI-Filedrop</t>
  </si>
  <si>
    <t xml:space="preserve">Rajesh</t>
  </si>
  <si>
    <t xml:space="preserve">Per-system spec from template — key-based SFTP folder drop. Covers non-core systems PIMS and Marsa (file/batch delivery): must set file format, batching frequency (batched vs per event) and which of the 8 data needs each receives.</t>
  </si>
  <si>
    <t xml:space="preserve">Template (per-system spec)</t>
  </si>
  <si>
    <t xml:space="preserve">Sections: endpoints required (functional, X of 8) · CPI authentication to system · payload type (XML, JSON, File, etc) · SAP to system mapping · batching or event driven · example payloads · solution (to be done later).</t>
  </si>
  <si>
    <t xml:space="preserve">Note: 'Batching or Event Driven' — per the 13/08 decision, delivery is event-driven for every pushed interface; each spec should state this and note any exception. The 8 SAP endpoints map 1:1 to the eight data needs on the 'S4 Data Requirements' tab.</t>
  </si>
  <si>
    <t xml:space="preserve">Payload definitions per data need (draft)</t>
  </si>
  <si>
    <t xml:space="preserve">CPI sends only the agreed field list per system (these become the signed-off field lists in each CPI-to-system spec), never the full API response. Every message carries the common envelope + the join IDs. APIs are S/4HANA Cloud Public Edition released APIs — verify each on the SAP Business Accelerator Hub (api.sap.com) before the FS is written.</t>
  </si>
  <si>
    <t xml:space="preserve">Common envelope on every message (from the JAMS contract — applies to all systems)</t>
  </si>
  <si>
    <t xml:space="preserve">Tracking: message ID · correlation ID · record ID · contract · changed-at · format version.  Join IDs: S/4 document number (the create-or-update key) · Job reference — IFS/Job ↔ SERA/Beacon ID, mapped in SAP · WBS element where job-costed · contract ID (drives routing; a system only ever receives its own contracts' data).</t>
  </si>
  <si>
    <t xml:space="preserve">Data need</t>
  </si>
  <si>
    <t xml:space="preserve">Source API (released, S/4HANA Cloud)</t>
  </si>
  <si>
    <t xml:space="preserve">Event trigger (topic)</t>
  </si>
  <si>
    <t xml:space="preserve">Draft selective field list (to confirm = the signed-off field list)</t>
  </si>
  <si>
    <t xml:space="preserve">Join IDs in payload</t>
  </si>
  <si>
    <t xml:space="preserve">OData V4 OP_SERVICEORDER_0001 (successor of API_SERVICE_ORDER_SRV, V2 deprecated since release 2025)</t>
  </si>
  <si>
    <t xml:space="preserve">sap/s4/beh/serviceorder — Released / ChgdWhenReleased / Completed / ReleaseRevoked (no generic Created/Changed event — trigger on release lifecycle; to enable on EMIS_COM_0092)</t>
  </si>
  <si>
    <t xml:space="preserve">ServiceOrder, ServiceOrderType, ServiceOrderDescription, ServiceOrderStatus, SoldToParty, RequestedServiceStartDateTime/EndDateTime, PersonResponsible; items: ServiceOrderItem, Product, Quantity, referenced WBS/Job account assignment.</t>
  </si>
  <si>
    <t xml:space="preserve">ServiceOrder no. + Job (IFS/Job via SERA/Beacon mapping) + contract</t>
  </si>
  <si>
    <t xml:space="preserve">API_ENTERPRISE_PROJECT_SRV_0002 (/enterpriseprojects, $expand to project elements)</t>
  </si>
  <si>
    <t xml:space="preserve">sap/s4/beh/enterpriseproject — to confirm event exists; else timed check on the API (board fallback)</t>
  </si>
  <si>
    <t xml:space="preserve">Project, ProjectDescription, ProjectProfileCode, WBSElement (ProjectElement), ProjectElementDescription, PlannedStartDate/PlannedEndDate, ResponsibleCostCenter, ProfitCenter, ProjectElement hierarchy level/parent.</t>
  </si>
  <si>
    <t xml:space="preserve">Project + WBS element + Job (IFS/Job) + SERA/Beacon ID</t>
  </si>
  <si>
    <t xml:space="preserve">API_PURCHASEORDER_PROCESS_SRV (header, items, account assignment)</t>
  </si>
  <si>
    <t xml:space="preserve">sap/s4/beh/purchaseorder — PurchaseOrder Changed (to enable)</t>
  </si>
  <si>
    <t xml:space="preserve">PurchaseOrder, PurchaseOrderType, Supplier, PurchaseOrderDate, DocumentCurrency; items: Material/ServiceLine, OrderQuantity, NetPriceAmount, Plant; account assignment: WBSElement (= Job &amp; Activity), CostCenter.</t>
  </si>
  <si>
    <t xml:space="preserve">PO no. + Job &amp; Activity (WBS) + Supplier</t>
  </si>
  <si>
    <t xml:space="preserve">API_SUPPLIERINVOICE_PROCESS_SRV; payment status from Journal Entry Item clearing (API_JOURNALENTRYITEMBASIC_SRV: ClearingJournalEntry, ClearingDate)</t>
  </si>
  <si>
    <t xml:space="preserve">sap/s4/beh/supplierinvoice — Created/Changed (to enable). Payment status: separate trigger, timed check on clearing status (no standard 'paid' event) — confirm</t>
  </si>
  <si>
    <t xml:space="preserve">SupplierInvoice, FiscalYear, InvoicingParty, DocumentDate, PostingDate, InvoiceGrossAmount, DocumentCurrency, PaymentTerms, related PO reference; separate payment message: clearing doc, clearing date, payment status.</t>
  </si>
  <si>
    <t xml:space="preserve">SupplierInvoice no. + PO no. + Job + Supplier</t>
  </si>
  <si>
    <t xml:space="preserve">API_JOURNALENTRYITEMBASIC_SRV / CDS I_JournalEntryItem (/journalentry — cost and quantity by WBS)</t>
  </si>
  <si>
    <t xml:space="preserve">No journal entry event exists — TIMED DELTA EXTRACT (micro-batch 15–60 min) on the Universal Journal, split into the four cost elements by G/L account group. Multiple source documents converge here — see 'Cost Data Handling' tab (Option B recommended)</t>
  </si>
  <si>
    <t xml:space="preserve">CompanyCode, FiscalYear, AccountingDocument, PostingDate, GLAccount (+ account group → cost element class), WBSElement, CostCenter, Amount, DebitCreditCode, Quantity, UnitOfMeasure, ReferenceDocument, and the service order reference where the posting came from a service transaction (exact field on the API to confirm; account assignment model — service order item vs direct WBS — to confirm with Finance).</t>
  </si>
  <si>
    <t xml:space="preserve">WBS element → Job ID; service order no. where present</t>
  </si>
  <si>
    <t xml:space="preserve">API_PRODUCT_SRV + API_MATERIAL_STOCK_SRV / CDS I_MaterialStock (per KDD-3)</t>
  </si>
  <si>
    <t xml:space="preserve">None — scheduled batch ~15 min (KDD-3, ETF-943); not event-driven</t>
  </si>
  <si>
    <t xml:space="preserve">Material, MaterialDescription, BaseUnit, Plant, StorageLocation, MatlWrhsStkQtyInMatlBaseUnit (inventory quantity). Price only until KDD-3 D5 confirms descope.</t>
  </si>
  <si>
    <t xml:space="preserve">Material + Plant + StorageLocation</t>
  </si>
  <si>
    <t xml:space="preserve">n/a for JAMS — direct integration Beakon → Redshift → Boomi → JAMS (outside S/4/CPI). If other FSMs need supplier data from S/4: API_BUSINESS_PARTNER (A_Supplier)</t>
  </si>
  <si>
    <t xml:space="preserve">Not applicable to the direct path. S/4 fallback exists: sap/s4/beh/businesspartner — BusinessPartner Changed — already active in dev on EMIS_COM_0092 (3 events acknowledged)</t>
  </si>
  <si>
    <t xml:space="preserve">Direct path: field list owned by the Beakon→Redshift→Boomi design. S/4 fallback list: Supplier, SupplierName, TaxNumber (ABN), PaymentTerms, purchasing org data, address, block/deletion flags.</t>
  </si>
  <si>
    <t xml:space="preserve">Supplier (BP no.) + ABN</t>
  </si>
  <si>
    <t xml:space="preserve">API_BILLING_DOCUMENT_SRV; payment status from accounting document clearing — confirm source</t>
  </si>
  <si>
    <t xml:space="preserve">sap/s4/beh/billingdocument — Created/Changed (to confirm in the catalog). Payment status: separate trigger — timed check on clearing</t>
  </si>
  <si>
    <t xml:space="preserve">BillingDocument, BillingDocumentType, BillingDocumentDate, SoldToParty, TotalNetAmount, TaxAmount, TransactionCurrency; items with WBS/Job assignment; separate payment message: clearing status, clearing date.</t>
  </si>
  <si>
    <t xml:space="preserve">BillingDocument no. + Job + contract</t>
  </si>
  <si>
    <t xml:space="preserve">Notes: (1) Field lists above are drafts — each becomes the field list appendix of the matching CPI-to-system spec (per system, so payloads stay selective per subscriber). (2) Event topic names follow the sap/s4/beh pattern already working in dev (businesspartner, serviceentrysheet); confirm each topic's availability in Enterprise Event Enablement before FS. (3) V2 APIs marked deprecated should be specced on their V4 successors where released. (4) Verify every API on api.sap.com for S/4HANA Cloud Public Edition and note the release state.</t>
  </si>
  <si>
    <t xml:space="preserve">Cost data handling</t>
  </si>
  <si>
    <t xml:space="preserve">Cost Data is not one document. Labour, plant, procurement and material usage are posted as DIFFERENT source documents that only converge as journal entry line items in the Universal Journal (ACDOCA), keyed by WBS. Journal entries publish no business event in S/4HANA Cloud, so change detection is either a timed extract or assembled from source-document events.</t>
  </si>
  <si>
    <t xml:space="preserve">Where each cost element actually comes from</t>
  </si>
  <si>
    <t xml:space="preserve">Cost element (board)</t>
  </si>
  <si>
    <t xml:space="preserve">Source document in S/4</t>
  </si>
  <si>
    <t xml:space="preserve">Standard event available?</t>
  </si>
  <si>
    <t xml:space="preserve">Lands in Universal Journal as</t>
  </si>
  <si>
    <t xml:space="preserve">Job reference</t>
  </si>
  <si>
    <t xml:space="preserve">Labour</t>
  </si>
  <si>
    <t xml:space="preserve">Time confirmation / activity allocation (timesheet)</t>
  </si>
  <si>
    <t xml:space="preserve">No released event</t>
  </si>
  <si>
    <t xml:space="preserve">Activity allocation line item (quantity + amount)</t>
  </si>
  <si>
    <t xml:space="preserve">WBS element</t>
  </si>
  <si>
    <t xml:space="preserve">Equipment / Plant</t>
  </si>
  <si>
    <t xml:space="preserve">Internal activity allocation / equipment usage posting</t>
  </si>
  <si>
    <t xml:space="preserve">Activity allocation line item</t>
  </si>
  <si>
    <t xml:space="preserve">Proc</t>
  </si>
  <si>
    <t xml:space="preserve">Service entry sheet + supplier invoice against the PO</t>
  </si>
  <si>
    <t xml:space="preserve">ServiceEntrySheet Changed — already active in dev; SupplierInvoice event to confirm</t>
  </si>
  <si>
    <t xml:space="preserve">GR/IR and expense line items</t>
  </si>
  <si>
    <t xml:space="preserve">PO account assignment → WBS</t>
  </si>
  <si>
    <t xml:space="preserve">Material Usage</t>
  </si>
  <si>
    <t xml:space="preserve">Goods issue (material document)</t>
  </si>
  <si>
    <t xml:space="preserve">Goods movement events — confirm in tenant catalog</t>
  </si>
  <si>
    <t xml:space="preserve">Consumption line item (quantity + amount)</t>
  </si>
  <si>
    <t xml:space="preserve">Options for detection and assembly</t>
  </si>
  <si>
    <t xml:space="preserve">Option</t>
  </si>
  <si>
    <t xml:space="preserve">Approach</t>
  </si>
  <si>
    <t xml:space="preserve">Why / why not</t>
  </si>
  <si>
    <t xml:space="preserve">Verdict</t>
  </si>
  <si>
    <t xml:space="preserve">A — Combine source-document events</t>
  </si>
  <si>
    <t xml:space="preserve">Subscribe to every source event (service entry sheet, goods movement, invoice…), correlate them per WBS, and assemble cost messages from the pieces.</t>
  </si>
  <si>
    <t xml:space="preserve">Event coverage is incomplete (no labour or journal entry events), correlation risks double counting and ordering errors, and every new cost source means new event plumbing. High complexity for partial coverage.</t>
  </si>
  <si>
    <t xml:space="preserve">Declined</t>
  </si>
  <si>
    <t xml:space="preserve">B — Timed delta extract from the Universal Journal</t>
  </si>
  <si>
    <t xml:space="preserve">One scheduled CPI delta extract on the Journal Entry Item API (micro-batch, e.g. every 15–60 min), filtered to job-costed WBS lines, split by G/L account group into the four cost elements — four logical messages, one correlation ID, idempotent on AccountingDocument + line item.</t>
  </si>
  <si>
    <t xml:space="preserve">The journal covers all four elements consistently, matches the agreed 'separate trigger per cost element + Job ID', follows the no-runtime-lookup rule, and matches the KDD-3 scheduled-extract pattern. Latency is minutes, which cost reporting tolerates.</t>
  </si>
  <si>
    <t xml:space="preserve">Recommended</t>
  </si>
  <si>
    <t xml:space="preserve">C — Hybrid: events as accelerator</t>
  </si>
  <si>
    <t xml:space="preserve">Run Option B as the base; where an event already fires (service entry sheet is live in dev), use it to trigger an early delta run for that WBS. Data still comes only from the journal entry API.</t>
  </si>
  <si>
    <t xml:space="preserve">Optional optimisation later — adds freshness without changing the data source. Only worth it if the 15–60 min cycle proves too slow for a named consumer.</t>
  </si>
  <si>
    <t xml:space="preserve">Later option</t>
  </si>
  <si>
    <t xml:space="preserve">Recommendation (to confirm with Thauriq/Deloitte): Option B. Detection = timed delta on API_JOURNALENTRYITEMBASIC_SRV / I_JournalEntryItem; assembly = split by G/L account group into Labour, Equipment/Plant, Proc, Material Usage; each message carries cost element, WBS → Job ID, amount, quantity, source document reference, and the service order number where the posting came from a service transaction. WBS is the common key because every cost line carries it; the service order reference is carried in addition, not instead. Confirm the account assignment model (service order item vs direct WBS) with Finance before the FS. Delivery to FSMs is unchanged CPI push. This is why Cost Data shows 'Timed' on the matrix.</t>
  </si>
  <si>
    <t xml:space="preserve">Cost extract — Deloitte journal sample vs the architecture and today's Jobpac feed</t>
  </si>
  <si>
    <t xml:space="preserve">Inputs: JAMS_Jobpac_2.xlsx (what JAMS reads from Jobpac today: Finance Summary, AP, Stock, GL) and CostData(Journals).xlsx (Deloitte sample extract of the Universal Journal, 50 lines, 38 columns, shared by Thauriq 17/08). Compared against the cost data architecture (timed delta extract, four cost elements, WBS to Job join, Option 1 reversals).</t>
  </si>
  <si>
    <t xml:space="preserve">Verdict: the schema is right, the sample is not yet usable. Deloitte's column list has every field the architecture needs — custom job/contract references (YY1_WBSFSMJobReference, YY1_fsmJobNumber, YY1_ProjectContractID, YY1_clientContractId), WBS, ServiceDocument, reversal and commitment flags, quantity + unit, purchasing document, supplier, clearing. But in all 50 sample lines every one of those fields is empty — only the ledger keys, G/L account, profit centre, segment, amount and dates carry data — and the sample includes both sides of each journal (cost line plus offsetting entry). Karan's comment on Teams says the same: data in this format will not make sense to FSM until the job reference fields are added.</t>
  </si>
  <si>
    <t xml:space="preserve">Field mapping — architecture payload vs Jobpac today vs Deloitte sample</t>
  </si>
  <si>
    <t xml:space="preserve">Architecture payload field</t>
  </si>
  <si>
    <t xml:space="preserve">Jobpac source today (JAMS reads)</t>
  </si>
  <si>
    <t xml:space="preserve">Deloitte journal column</t>
  </si>
  <si>
    <t xml:space="preserve">Sample state (50 lines)</t>
  </si>
  <si>
    <t xml:space="preserve">Finding</t>
  </si>
  <si>
    <t xml:space="preserve">Job ID (WBS → Job)</t>
  </si>
  <si>
    <t xml:space="preserve">JobID / JobPacJob on every table</t>
  </si>
  <si>
    <t xml:space="preserve">YY1_WBSFSMJobReference_PTD · WBSElementExternalID · YY1_fsmJobNumber_SRH</t>
  </si>
  <si>
    <t xml:space="preserve">Empty in all 50 lines</t>
  </si>
  <si>
    <t xml:space="preserve">Blocker. Without the job reference no line can be routed or costed to a job. Repost the sample from job-costed postings with these fields populated.</t>
  </si>
  <si>
    <t xml:space="preserve">Contract ID (routing)</t>
  </si>
  <si>
    <t xml:space="preserve">n/a — Jobpac feed is JAMS-only</t>
  </si>
  <si>
    <t xml:space="preserve">YY1_ProjectContractID_PPH · YY1_clientContractId_SRH</t>
  </si>
  <si>
    <t xml:space="preserve">Empty</t>
  </si>
  <si>
    <t xml:space="preserve">Gap. Contract drives the subscription routing (each system gets only its own contracts).</t>
  </si>
  <si>
    <t xml:space="preserve">Service order reference</t>
  </si>
  <si>
    <t xml:space="preserve">WOID (work order)</t>
  </si>
  <si>
    <t xml:space="preserve">ServiceDocument / ServiceDocumentItem</t>
  </si>
  <si>
    <t xml:space="preserve">Gap. Needed to tie cost lines back to the service order where the posting came from a service transaction.</t>
  </si>
  <si>
    <t xml:space="preserve">Cost element (Labour / Equipment-Plant / Proc / Materials)</t>
  </si>
  <si>
    <t xml:space="preserve">CostType (L / M / S...) and cost centre type</t>
  </si>
  <si>
    <t xml:space="preserve">GLAccount (only 3 accounts in sample)</t>
  </si>
  <si>
    <t xml:space="preserve">Populated, unmapped</t>
  </si>
  <si>
    <t xml:space="preserve">Mapping needed. Provide the G/L account group to cost element table — without it the four-way split cannot be built.</t>
  </si>
  <si>
    <t xml:space="preserve">Amount + currency</t>
  </si>
  <si>
    <t xml:space="preserve">TransAmount / OrderAmount / InvoiceAmount</t>
  </si>
  <si>
    <t xml:space="preserve">AmountInCompanyCodeCurrency + CompanyCodeCurrency</t>
  </si>
  <si>
    <t xml:space="preserve">Populated</t>
  </si>
  <si>
    <t xml:space="preserve">OK.</t>
  </si>
  <si>
    <t xml:space="preserve">Quantity + unit</t>
  </si>
  <si>
    <t xml:space="preserve">OrderedQty, DeliveredQty; ResQnty + ResUnit (stock)</t>
  </si>
  <si>
    <t xml:space="preserve">Quantity + BaseUnit</t>
  </si>
  <si>
    <t xml:space="preserve">Gap. Labour hours and material usage quantities are part of the payload; Jobpac provides them today.</t>
  </si>
  <si>
    <t xml:space="preserve">Posting date / period</t>
  </si>
  <si>
    <t xml:space="preserve">TransactionDate, FinPeriodNo</t>
  </si>
  <si>
    <t xml:space="preserve">PostingDate, DocumentDate, FiscalYear</t>
  </si>
  <si>
    <t xml:space="preserve">Source document reference</t>
  </si>
  <si>
    <t xml:space="preserve">PONo, TransactionNo, BatchNo + line</t>
  </si>
  <si>
    <t xml:space="preserve">AccountingDocument + LedgerGLLineItem; PurchasingDocument / Item</t>
  </si>
  <si>
    <t xml:space="preserve">Journal key populated; PO reference empty</t>
  </si>
  <si>
    <t xml:space="preserve">Partial. Journal key is the idempotency key (good). Purchasing document should populate on proc lines.</t>
  </si>
  <si>
    <t xml:space="preserve">Line description</t>
  </si>
  <si>
    <t xml:space="preserve">TransDescription ('KENHI - Chain block hire'), Description</t>
  </si>
  <si>
    <t xml:space="preserve">No text column in the schema</t>
  </si>
  <si>
    <t xml:space="preserve">Missing from schema</t>
  </si>
  <si>
    <t xml:space="preserve">Schema gap. JAMS shows the line text today. Add the journal entry item text column to the CDS view.</t>
  </si>
  <si>
    <t xml:space="preserve">Supplier / creditor</t>
  </si>
  <si>
    <t xml:space="preserve">CreditorName, CreditorCode</t>
  </si>
  <si>
    <t xml:space="preserve">Gap. Populate on proc lines; JAMS displays the creditor today.</t>
  </si>
  <si>
    <t xml:space="preserve">Reversal handling (Option 1)</t>
  </si>
  <si>
    <t xml:space="preserve">Jobpac sends adjustment lines</t>
  </si>
  <si>
    <t xml:space="preserve">IsReversal / IsReversed</t>
  </si>
  <si>
    <t xml:space="preserve">All false; no reversal pair in sample</t>
  </si>
  <si>
    <t xml:space="preserve">To demonstrate. Option 1 decided 17/08: reversal = its own negative line with the flag set, never netted. Include a reversal pair in the next sample.</t>
  </si>
  <si>
    <t xml:space="preserve">Cost-line filter</t>
  </si>
  <si>
    <t xml:space="preserve">n/a</t>
  </si>
  <si>
    <t xml:space="preserve">Sample includes both journal sides (each cost line paired with an equal opposite offset account)</t>
  </si>
  <si>
    <t xml:space="preserve">Both sides present</t>
  </si>
  <si>
    <t xml:space="preserve">Extract rule needed. Send the cost side only (by G/L account group); sending both sides double counts or nets to zero at the FSM.</t>
  </si>
  <si>
    <t xml:space="preserve">Commitments</t>
  </si>
  <si>
    <t xml:space="preserve">CommittedAmount (Finance Summary)</t>
  </si>
  <si>
    <t xml:space="preserve">IsCommitment</t>
  </si>
  <si>
    <t xml:space="preserve">All false</t>
  </si>
  <si>
    <t xml:space="preserve">Decide. Committed (PO raised, not yet costed) should come from the Purchase Order feed, not the cost feed — confirm and state in the FS.</t>
  </si>
  <si>
    <t xml:space="preserve">Payment status</t>
  </si>
  <si>
    <t xml:space="preserve">PaidAmount</t>
  </si>
  <si>
    <t xml:space="preserve">ClearingDate / ClearingJournalEntry</t>
  </si>
  <si>
    <t xml:space="preserve">OK by design — payment status is its own separate trigger; the columns exist when needed.</t>
  </si>
  <si>
    <t xml:space="preserve">Actions for the next sample (Deloitte — Thauriq / Karan)</t>
  </si>
  <si>
    <t xml:space="preserve">1. Repost the sample from real job-costed postings so the job, WBS, contract and service document fields carry values.</t>
  </si>
  <si>
    <t xml:space="preserve">2. Provide the G/L account group to cost element mapping (Labour / Equipment-Plant / Proc / Material Usage).</t>
  </si>
  <si>
    <t xml:space="preserve">3. Filter to cost lines only — exclude the offsetting side of each journal.</t>
  </si>
  <si>
    <t xml:space="preserve">4. Populate quantity + base unit on labour and material lines, and supplier + purchasing document on proc lines.</t>
  </si>
  <si>
    <t xml:space="preserve">5. Add the journal entry item text column to the view, and include one Option 1 reversal pair to demonstrate the flags.</t>
  </si>
</sst>
</file>

<file path=xl/styles.xml><?xml version="1.0" encoding="utf-8"?>
<styleSheet xmlns="http://schemas.openxmlformats.org/spreadsheetml/2006/main">
  <numFmts count="2">
    <numFmt numFmtId="164" formatCode="General"/>
    <numFmt numFmtId="165" formatCode="General"/>
  </numFmts>
  <fonts count="20">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9"/>
      <color rgb="FF595959"/>
      <name val="Arial"/>
      <family val="0"/>
      <charset val="1"/>
    </font>
    <font>
      <b val="true"/>
      <sz val="10"/>
      <color rgb="FFFFFFFF"/>
      <name val="Arial"/>
      <family val="0"/>
      <charset val="1"/>
    </font>
    <font>
      <sz val="10"/>
      <color rgb="FF000000"/>
      <name val="Arial"/>
      <family val="0"/>
      <charset val="1"/>
    </font>
    <font>
      <b val="true"/>
      <sz val="10"/>
      <color rgb="FF000000"/>
      <name val="Arial"/>
      <family val="0"/>
      <charset val="1"/>
    </font>
    <font>
      <b val="true"/>
      <sz val="10"/>
      <color rgb="FF9C6500"/>
      <name val="Arial"/>
      <family val="0"/>
      <charset val="1"/>
    </font>
    <font>
      <b val="true"/>
      <sz val="10"/>
      <color rgb="FFC00000"/>
      <name val="Arial"/>
      <family val="0"/>
      <charset val="1"/>
    </font>
    <font>
      <b val="true"/>
      <sz val="10"/>
      <color rgb="FF1E7B45"/>
      <name val="Arial"/>
      <family val="0"/>
      <charset val="1"/>
    </font>
    <font>
      <sz val="10"/>
      <color rgb="FF595959"/>
      <name val="Arial"/>
      <family val="0"/>
      <charset val="1"/>
    </font>
    <font>
      <sz val="10"/>
      <color rgb="FFC00000"/>
      <name val="Arial"/>
      <family val="0"/>
      <charset val="1"/>
    </font>
    <font>
      <b val="true"/>
      <sz val="10"/>
      <color rgb="FF1F5FBF"/>
      <name val="Arial"/>
      <family val="0"/>
      <charset val="1"/>
    </font>
    <font>
      <b val="true"/>
      <sz val="10"/>
      <color rgb="FF595959"/>
      <name val="Arial"/>
      <family val="0"/>
      <charset val="1"/>
    </font>
    <font>
      <b val="true"/>
      <sz val="12"/>
      <color rgb="FF1F2A44"/>
      <name val="Arial"/>
      <family val="0"/>
      <charset val="1"/>
    </font>
    <font>
      <i val="true"/>
      <sz val="9"/>
      <color rgb="FFC00000"/>
      <name val="Arial"/>
      <family val="0"/>
      <charset val="1"/>
    </font>
    <font>
      <b val="true"/>
      <sz val="11"/>
      <color rgb="FF1F2A44"/>
      <name val="Arial"/>
      <family val="0"/>
      <charset val="1"/>
    </font>
    <font>
      <sz val="10"/>
      <color rgb="FF1E7B45"/>
      <name val="Arial"/>
      <family val="0"/>
      <charset val="1"/>
    </font>
  </fonts>
  <fills count="8">
    <fill>
      <patternFill patternType="none"/>
    </fill>
    <fill>
      <patternFill patternType="gray125"/>
    </fill>
    <fill>
      <patternFill patternType="solid">
        <fgColor rgb="FF1F2A44"/>
        <bgColor rgb="FF003366"/>
      </patternFill>
    </fill>
    <fill>
      <patternFill patternType="solid">
        <fgColor rgb="FFFFF3DC"/>
        <bgColor rgb="FFFDE7E7"/>
      </patternFill>
    </fill>
    <fill>
      <patternFill patternType="solid">
        <fgColor rgb="FFFDE7E7"/>
        <bgColor rgb="FFFFF3DC"/>
      </patternFill>
    </fill>
    <fill>
      <patternFill patternType="solid">
        <fgColor rgb="FFE7F4EC"/>
        <bgColor rgb="FFF2F2F2"/>
      </patternFill>
    </fill>
    <fill>
      <patternFill patternType="solid">
        <fgColor rgb="FFF2F2F2"/>
        <bgColor rgb="FFE7F4EC"/>
      </patternFill>
    </fill>
    <fill>
      <patternFill patternType="solid">
        <fgColor rgb="FFE4EDFB"/>
        <bgColor rgb="FFE7F4E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right" vertical="top" textRotation="0" wrapText="true" indent="0" shrinkToFit="false"/>
      <protection locked="true" hidden="false"/>
    </xf>
    <xf numFmtId="165" fontId="10" fillId="0" borderId="1" xfId="0" applyFont="true" applyBorder="true" applyAlignment="true" applyProtection="false">
      <alignment horizontal="center" vertical="top" textRotation="0" wrapText="true" indent="0"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10" fillId="4" borderId="1" xfId="0" applyFont="true" applyBorder="true" applyAlignment="true" applyProtection="false">
      <alignment horizontal="center" vertical="top" textRotation="0" wrapText="true" indent="0" shrinkToFit="false"/>
      <protection locked="true" hidden="false"/>
    </xf>
    <xf numFmtId="164" fontId="15" fillId="6" borderId="1" xfId="0" applyFont="true" applyBorder="true" applyAlignment="true" applyProtection="false">
      <alignment horizontal="center" vertical="top" textRotation="0" wrapText="true" indent="0" shrinkToFit="false"/>
      <protection locked="true" hidden="false"/>
    </xf>
    <xf numFmtId="164" fontId="14" fillId="7" borderId="1" xfId="0" applyFont="true" applyBorder="true" applyAlignment="true" applyProtection="false">
      <alignment horizontal="center" vertical="top" textRotation="0" wrapText="tru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9" fillId="0"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1E7B45"/>
      <rgbColor rgb="FFBFBFBF"/>
      <rgbColor rgb="FF808080"/>
      <rgbColor rgb="FF9999FF"/>
      <rgbColor rgb="FF993366"/>
      <rgbColor rgb="FFFFF3DC"/>
      <rgbColor rgb="FFE7F4EC"/>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E4EDFB"/>
      <rgbColor rgb="FFF2F2F2"/>
      <rgbColor rgb="FFFDE7E7"/>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0"/>
    <col collapsed="false" customWidth="true" hidden="false" outlineLevel="0" max="3" min="3" style="0" width="30"/>
    <col collapsed="false" customWidth="true" hidden="false" outlineLevel="0" max="4" min="4" style="0" width="26"/>
    <col collapsed="false" customWidth="true" hidden="false" outlineLevel="0" max="5" min="5" style="0" width="36"/>
    <col collapsed="false" customWidth="true" hidden="false" outlineLevel="0" max="10" min="6" style="0" width="10"/>
    <col collapsed="false" customWidth="true" hidden="false" outlineLevel="0" max="12" min="11" style="0" width="11"/>
  </cols>
  <sheetData>
    <row r="1" customFormat="false" ht="17.35" hidden="false" customHeight="false" outlineLevel="0" collapsed="false">
      <c r="A1" s="1" t="s">
        <v>0</v>
      </c>
    </row>
    <row r="2" customFormat="false" ht="15" hidden="false" customHeight="false" outlineLevel="0" collapsed="false">
      <c r="A2" s="2" t="s">
        <v>1</v>
      </c>
      <c r="B2" s="2"/>
      <c r="C2" s="2"/>
      <c r="D2" s="2"/>
      <c r="E2" s="2"/>
      <c r="F2" s="2"/>
      <c r="G2" s="2"/>
      <c r="H2" s="2"/>
      <c r="I2" s="2"/>
      <c r="J2" s="2"/>
      <c r="K2" s="2"/>
      <c r="L2" s="2"/>
    </row>
    <row r="4" customFormat="false" ht="23.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33.75" hidden="false" customHeight="true" outlineLevel="0" collapsed="false">
      <c r="A5" s="4" t="n">
        <v>1</v>
      </c>
      <c r="B5" s="5" t="s">
        <v>14</v>
      </c>
      <c r="C5" s="6" t="s">
        <v>15</v>
      </c>
      <c r="D5" s="6" t="s">
        <v>16</v>
      </c>
      <c r="E5" s="6" t="s">
        <v>17</v>
      </c>
      <c r="F5" s="7" t="s">
        <v>18</v>
      </c>
      <c r="G5" s="8" t="s">
        <v>19</v>
      </c>
      <c r="H5" s="9" t="s">
        <v>20</v>
      </c>
      <c r="I5" s="9" t="s">
        <v>20</v>
      </c>
      <c r="J5" s="10" t="s">
        <v>21</v>
      </c>
      <c r="K5" s="8" t="s">
        <v>22</v>
      </c>
      <c r="L5" s="8" t="s">
        <v>22</v>
      </c>
    </row>
    <row r="6" customFormat="false" ht="33.75" hidden="false" customHeight="true" outlineLevel="0" collapsed="false">
      <c r="A6" s="4" t="n">
        <v>2</v>
      </c>
      <c r="B6" s="5" t="s">
        <v>23</v>
      </c>
      <c r="C6" s="11" t="s">
        <v>24</v>
      </c>
      <c r="D6" s="11" t="s">
        <v>25</v>
      </c>
      <c r="E6" s="6" t="s">
        <v>26</v>
      </c>
      <c r="F6" s="7" t="s">
        <v>18</v>
      </c>
      <c r="G6" s="8" t="s">
        <v>19</v>
      </c>
      <c r="H6" s="8" t="s">
        <v>19</v>
      </c>
      <c r="I6" s="8" t="s">
        <v>19</v>
      </c>
      <c r="J6" s="8" t="s">
        <v>19</v>
      </c>
      <c r="K6" s="8" t="s">
        <v>22</v>
      </c>
      <c r="L6" s="8" t="s">
        <v>22</v>
      </c>
    </row>
    <row r="7" customFormat="false" ht="33.75" hidden="false" customHeight="true" outlineLevel="0" collapsed="false">
      <c r="A7" s="4" t="n">
        <v>3</v>
      </c>
      <c r="B7" s="5" t="s">
        <v>27</v>
      </c>
      <c r="C7" s="6" t="s">
        <v>28</v>
      </c>
      <c r="D7" s="6" t="s">
        <v>29</v>
      </c>
      <c r="E7" s="6" t="s">
        <v>30</v>
      </c>
      <c r="F7" s="9" t="s">
        <v>20</v>
      </c>
      <c r="G7" s="10" t="s">
        <v>21</v>
      </c>
      <c r="H7" s="10" t="s">
        <v>21</v>
      </c>
      <c r="I7" s="10" t="s">
        <v>21</v>
      </c>
      <c r="J7" s="10" t="s">
        <v>21</v>
      </c>
      <c r="K7" s="8" t="s">
        <v>22</v>
      </c>
      <c r="L7" s="8" t="s">
        <v>22</v>
      </c>
    </row>
    <row r="8" customFormat="false" ht="33.75" hidden="false" customHeight="true" outlineLevel="0" collapsed="false">
      <c r="A8" s="4" t="n">
        <v>4</v>
      </c>
      <c r="B8" s="5" t="s">
        <v>31</v>
      </c>
      <c r="C8" s="11" t="s">
        <v>32</v>
      </c>
      <c r="D8" s="11" t="s">
        <v>33</v>
      </c>
      <c r="E8" s="6" t="s">
        <v>34</v>
      </c>
      <c r="F8" s="9" t="s">
        <v>20</v>
      </c>
      <c r="G8" s="9" t="s">
        <v>20</v>
      </c>
      <c r="H8" s="8" t="s">
        <v>19</v>
      </c>
      <c r="I8" s="9" t="s">
        <v>20</v>
      </c>
      <c r="J8" s="8" t="s">
        <v>19</v>
      </c>
      <c r="K8" s="8" t="s">
        <v>22</v>
      </c>
      <c r="L8" s="8" t="s">
        <v>22</v>
      </c>
    </row>
    <row r="9" customFormat="false" ht="33.75" hidden="false" customHeight="true" outlineLevel="0" collapsed="false">
      <c r="A9" s="4" t="n">
        <v>5</v>
      </c>
      <c r="B9" s="5" t="s">
        <v>35</v>
      </c>
      <c r="C9" s="11" t="s">
        <v>36</v>
      </c>
      <c r="D9" s="11" t="s">
        <v>37</v>
      </c>
      <c r="E9" s="6" t="s">
        <v>38</v>
      </c>
      <c r="F9" s="9" t="s">
        <v>39</v>
      </c>
      <c r="G9" s="8" t="s">
        <v>19</v>
      </c>
      <c r="H9" s="8" t="s">
        <v>19</v>
      </c>
      <c r="I9" s="8" t="s">
        <v>19</v>
      </c>
      <c r="J9" s="8" t="s">
        <v>19</v>
      </c>
      <c r="K9" s="8" t="s">
        <v>22</v>
      </c>
      <c r="L9" s="8" t="s">
        <v>22</v>
      </c>
    </row>
    <row r="10" customFormat="false" ht="33.75" hidden="false" customHeight="true" outlineLevel="0" collapsed="false">
      <c r="A10" s="4" t="n">
        <v>6</v>
      </c>
      <c r="B10" s="5" t="s">
        <v>40</v>
      </c>
      <c r="C10" s="11" t="s">
        <v>41</v>
      </c>
      <c r="D10" s="11" t="s">
        <v>42</v>
      </c>
      <c r="E10" s="6" t="s">
        <v>43</v>
      </c>
      <c r="F10" s="12" t="s">
        <v>44</v>
      </c>
      <c r="G10" s="10" t="s">
        <v>21</v>
      </c>
      <c r="H10" s="10" t="s">
        <v>21</v>
      </c>
      <c r="I10" s="12" t="s">
        <v>44</v>
      </c>
      <c r="J10" s="10" t="s">
        <v>21</v>
      </c>
      <c r="K10" s="10" t="s">
        <v>21</v>
      </c>
      <c r="L10" s="10" t="s">
        <v>21</v>
      </c>
    </row>
    <row r="11" customFormat="false" ht="33.75" hidden="false" customHeight="true" outlineLevel="0" collapsed="false">
      <c r="A11" s="4" t="n">
        <v>7</v>
      </c>
      <c r="B11" s="5" t="s">
        <v>45</v>
      </c>
      <c r="C11" s="11" t="s">
        <v>46</v>
      </c>
      <c r="D11" s="11" t="s">
        <v>47</v>
      </c>
      <c r="E11" s="6" t="s">
        <v>48</v>
      </c>
      <c r="F11" s="12" t="s">
        <v>49</v>
      </c>
      <c r="G11" s="8" t="s">
        <v>19</v>
      </c>
      <c r="H11" s="8" t="s">
        <v>19</v>
      </c>
      <c r="I11" s="8" t="s">
        <v>19</v>
      </c>
      <c r="J11" s="8" t="s">
        <v>19</v>
      </c>
      <c r="K11" s="10" t="s">
        <v>21</v>
      </c>
      <c r="L11" s="10" t="s">
        <v>21</v>
      </c>
    </row>
    <row r="12" customFormat="false" ht="33.75" hidden="false" customHeight="true" outlineLevel="0" collapsed="false">
      <c r="A12" s="4" t="n">
        <v>8</v>
      </c>
      <c r="B12" s="5" t="s">
        <v>50</v>
      </c>
      <c r="C12" s="11" t="s">
        <v>51</v>
      </c>
      <c r="D12" s="11" t="s">
        <v>52</v>
      </c>
      <c r="E12" s="6" t="s">
        <v>53</v>
      </c>
      <c r="F12" s="9" t="s">
        <v>20</v>
      </c>
      <c r="G12" s="9" t="s">
        <v>20</v>
      </c>
      <c r="H12" s="8" t="s">
        <v>19</v>
      </c>
      <c r="I12" s="9" t="s">
        <v>20</v>
      </c>
      <c r="J12" s="8" t="s">
        <v>19</v>
      </c>
      <c r="K12" s="8" t="s">
        <v>22</v>
      </c>
      <c r="L12" s="8" t="s">
        <v>22</v>
      </c>
    </row>
    <row r="13" customFormat="false" ht="15" hidden="false" customHeight="false" outlineLevel="0" collapsed="false">
      <c r="E13" s="13" t="s">
        <v>54</v>
      </c>
      <c r="F13" s="14" t="n">
        <f aca="false">SUMPRODUCT(--ISNUMBER(SEARCH("TBC",F5:F12)))</f>
        <v>0</v>
      </c>
      <c r="G13" s="14" t="n">
        <f aca="false">SUMPRODUCT(--ISNUMBER(SEARCH("TBC",G5:G12)))</f>
        <v>4</v>
      </c>
      <c r="H13" s="14" t="n">
        <f aca="false">SUMPRODUCT(--ISNUMBER(SEARCH("TBC",H5:H12)))</f>
        <v>5</v>
      </c>
      <c r="I13" s="14" t="n">
        <f aca="false">SUMPRODUCT(--ISNUMBER(SEARCH("TBC",I5:I12)))</f>
        <v>3</v>
      </c>
      <c r="J13" s="14" t="n">
        <f aca="false">SUMPRODUCT(--ISNUMBER(SEARCH("TBC",J5:J12)))</f>
        <v>5</v>
      </c>
      <c r="K13" s="14" t="n">
        <f aca="false">SUMPRODUCT(--ISNUMBER(SEARCH("TBC",K5:K12)))</f>
        <v>6</v>
      </c>
      <c r="L13" s="14" t="n">
        <f aca="false">SUMPRODUCT(--ISNUMBER(SEARCH("TBC",L5:L12)))</f>
        <v>6</v>
      </c>
    </row>
    <row r="15" customFormat="false" ht="15" hidden="false" customHeight="false" outlineLevel="0" collapsed="false">
      <c r="B15" s="5" t="s">
        <v>55</v>
      </c>
    </row>
    <row r="16" customFormat="false" ht="15" hidden="false" customHeight="true" outlineLevel="0" collapsed="false">
      <c r="B16" s="15" t="s">
        <v>20</v>
      </c>
      <c r="C16" s="6" t="s">
        <v>56</v>
      </c>
      <c r="D16" s="6"/>
      <c r="E16" s="6"/>
      <c r="F16" s="6"/>
      <c r="G16" s="6"/>
      <c r="H16" s="6"/>
      <c r="I16" s="6"/>
      <c r="J16" s="6"/>
      <c r="K16" s="6"/>
      <c r="L16" s="6"/>
    </row>
    <row r="17" customFormat="false" ht="15" hidden="false" customHeight="true" outlineLevel="0" collapsed="false">
      <c r="B17" s="15" t="s">
        <v>39</v>
      </c>
      <c r="C17" s="6" t="s">
        <v>57</v>
      </c>
      <c r="D17" s="6"/>
      <c r="E17" s="6"/>
      <c r="F17" s="6"/>
      <c r="G17" s="6"/>
      <c r="H17" s="6"/>
      <c r="I17" s="6"/>
      <c r="J17" s="6"/>
      <c r="K17" s="6"/>
      <c r="L17" s="6"/>
    </row>
    <row r="18" customFormat="false" ht="15" hidden="false" customHeight="true" outlineLevel="0" collapsed="false">
      <c r="B18" s="16" t="s">
        <v>18</v>
      </c>
      <c r="C18" s="6" t="s">
        <v>58</v>
      </c>
      <c r="D18" s="6"/>
      <c r="E18" s="6"/>
      <c r="F18" s="6"/>
      <c r="G18" s="6"/>
      <c r="H18" s="6"/>
      <c r="I18" s="6"/>
      <c r="J18" s="6"/>
      <c r="K18" s="6"/>
      <c r="L18" s="6"/>
    </row>
    <row r="19" customFormat="false" ht="15" hidden="false" customHeight="true" outlineLevel="0" collapsed="false">
      <c r="B19" s="17" t="s">
        <v>19</v>
      </c>
      <c r="C19" s="6" t="s">
        <v>59</v>
      </c>
      <c r="D19" s="6"/>
      <c r="E19" s="6"/>
      <c r="F19" s="6"/>
      <c r="G19" s="6"/>
      <c r="H19" s="6"/>
      <c r="I19" s="6"/>
      <c r="J19" s="6"/>
      <c r="K19" s="6"/>
      <c r="L19" s="6"/>
    </row>
    <row r="20" customFormat="false" ht="15" hidden="false" customHeight="true" outlineLevel="0" collapsed="false">
      <c r="B20" s="18" t="s">
        <v>21</v>
      </c>
      <c r="C20" s="6" t="s">
        <v>60</v>
      </c>
      <c r="D20" s="6"/>
      <c r="E20" s="6"/>
      <c r="F20" s="6"/>
      <c r="G20" s="6"/>
      <c r="H20" s="6"/>
      <c r="I20" s="6"/>
      <c r="J20" s="6"/>
      <c r="K20" s="6"/>
      <c r="L20" s="6"/>
    </row>
    <row r="21" customFormat="false" ht="15" hidden="false" customHeight="true" outlineLevel="0" collapsed="false">
      <c r="B21" s="19" t="s">
        <v>61</v>
      </c>
      <c r="C21" s="6" t="s">
        <v>62</v>
      </c>
      <c r="D21" s="6"/>
      <c r="E21" s="6"/>
      <c r="F21" s="6"/>
      <c r="G21" s="6"/>
      <c r="H21" s="6"/>
      <c r="I21" s="6"/>
      <c r="J21" s="6"/>
      <c r="K21" s="6"/>
      <c r="L21" s="6"/>
    </row>
    <row r="22" customFormat="false" ht="15" hidden="false" customHeight="true" outlineLevel="0" collapsed="false">
      <c r="B22" s="19" t="s">
        <v>44</v>
      </c>
      <c r="C22" s="6" t="s">
        <v>63</v>
      </c>
      <c r="D22" s="6"/>
      <c r="E22" s="6"/>
      <c r="F22" s="6"/>
      <c r="G22" s="6"/>
      <c r="H22" s="6"/>
      <c r="I22" s="6"/>
      <c r="J22" s="6"/>
      <c r="K22" s="6"/>
      <c r="L22" s="6"/>
    </row>
    <row r="23" customFormat="false" ht="15" hidden="false" customHeight="true" outlineLevel="0" collapsed="false">
      <c r="B23" s="19" t="s">
        <v>49</v>
      </c>
      <c r="C23" s="6" t="s">
        <v>64</v>
      </c>
      <c r="D23" s="6"/>
      <c r="E23" s="6"/>
      <c r="F23" s="6"/>
      <c r="G23" s="6"/>
      <c r="H23" s="6"/>
      <c r="I23" s="6"/>
      <c r="J23" s="6"/>
      <c r="K23" s="6"/>
      <c r="L23" s="6"/>
    </row>
    <row r="24" customFormat="false" ht="15" hidden="false" customHeight="true" outlineLevel="0" collapsed="false">
      <c r="B24" s="17" t="s">
        <v>22</v>
      </c>
      <c r="C24" s="6" t="s">
        <v>65</v>
      </c>
      <c r="D24" s="6"/>
      <c r="E24" s="6"/>
      <c r="F24" s="6"/>
      <c r="G24" s="6"/>
      <c r="H24" s="6"/>
      <c r="I24" s="6"/>
      <c r="J24" s="6"/>
      <c r="K24" s="6"/>
      <c r="L24" s="6"/>
    </row>
    <row r="25" customFormat="false" ht="15" hidden="false" customHeight="true" outlineLevel="0" collapsed="false">
      <c r="B25" s="18" t="s">
        <v>66</v>
      </c>
      <c r="C25" s="6" t="s">
        <v>67</v>
      </c>
      <c r="D25" s="6"/>
      <c r="E25" s="6"/>
      <c r="F25" s="6"/>
      <c r="G25" s="6"/>
      <c r="H25" s="6"/>
      <c r="I25" s="6"/>
      <c r="J25" s="6"/>
      <c r="K25" s="6"/>
      <c r="L25" s="6"/>
    </row>
    <row r="27" customFormat="false" ht="15" hidden="false" customHeight="false" outlineLevel="0" collapsed="false">
      <c r="B27" s="2" t="s">
        <v>68</v>
      </c>
      <c r="C27" s="2"/>
      <c r="D27" s="2"/>
      <c r="E27" s="2"/>
      <c r="F27" s="2"/>
      <c r="G27" s="2"/>
      <c r="H27" s="2"/>
      <c r="I27" s="2"/>
      <c r="J27" s="2"/>
      <c r="K27" s="2"/>
      <c r="L27" s="2"/>
    </row>
  </sheetData>
  <mergeCells count="12">
    <mergeCell ref="A2:L2"/>
    <mergeCell ref="C16:L16"/>
    <mergeCell ref="C17:L17"/>
    <mergeCell ref="C18:L18"/>
    <mergeCell ref="C19:L19"/>
    <mergeCell ref="C20:L20"/>
    <mergeCell ref="C21:L21"/>
    <mergeCell ref="C22:L22"/>
    <mergeCell ref="C23:L23"/>
    <mergeCell ref="C24:L24"/>
    <mergeCell ref="C25:L25"/>
    <mergeCell ref="B27:L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 min="3" style="0" width="52"/>
    <col collapsed="false" customWidth="true" hidden="false" outlineLevel="0" max="4" min="4" style="0" width="14"/>
    <col collapsed="false" customWidth="true" hidden="false" outlineLevel="0" max="5" min="5" style="0" width="42"/>
  </cols>
  <sheetData>
    <row r="1" customFormat="false" ht="17.35" hidden="false" customHeight="false" outlineLevel="0" collapsed="false">
      <c r="A1" s="1" t="s">
        <v>69</v>
      </c>
    </row>
    <row r="2" customFormat="false" ht="15" hidden="false" customHeight="false" outlineLevel="0" collapsed="false">
      <c r="A2" s="2" t="s">
        <v>70</v>
      </c>
      <c r="B2" s="2"/>
      <c r="C2" s="2"/>
      <c r="D2" s="2"/>
      <c r="E2" s="2"/>
    </row>
    <row r="4" customFormat="false" ht="15" hidden="false" customHeight="false" outlineLevel="0" collapsed="false">
      <c r="A4" s="3" t="s">
        <v>71</v>
      </c>
      <c r="B4" s="3" t="s">
        <v>72</v>
      </c>
      <c r="C4" s="3" t="s">
        <v>73</v>
      </c>
      <c r="D4" s="3" t="s">
        <v>74</v>
      </c>
      <c r="E4" s="3" t="s">
        <v>75</v>
      </c>
    </row>
    <row r="5" customFormat="false" ht="43.5" hidden="false" customHeight="true" outlineLevel="0" collapsed="false">
      <c r="A5" s="4" t="s">
        <v>76</v>
      </c>
      <c r="B5" s="5" t="s">
        <v>77</v>
      </c>
      <c r="C5" s="6" t="s">
        <v>78</v>
      </c>
      <c r="D5" s="12" t="s">
        <v>79</v>
      </c>
      <c r="E5" s="6" t="s">
        <v>80</v>
      </c>
    </row>
    <row r="6" customFormat="false" ht="43.5" hidden="false" customHeight="true" outlineLevel="0" collapsed="false">
      <c r="A6" s="4" t="s">
        <v>81</v>
      </c>
      <c r="B6" s="5" t="s">
        <v>82</v>
      </c>
      <c r="C6" s="6" t="s">
        <v>83</v>
      </c>
      <c r="D6" s="12" t="s">
        <v>79</v>
      </c>
      <c r="E6" s="6" t="s">
        <v>84</v>
      </c>
    </row>
    <row r="7" customFormat="false" ht="43.5" hidden="false" customHeight="true" outlineLevel="0" collapsed="false">
      <c r="A7" s="4" t="s">
        <v>85</v>
      </c>
      <c r="B7" s="5" t="s">
        <v>86</v>
      </c>
      <c r="C7" s="6" t="s">
        <v>87</v>
      </c>
      <c r="D7" s="9" t="s">
        <v>88</v>
      </c>
      <c r="E7" s="6" t="s">
        <v>89</v>
      </c>
    </row>
    <row r="8" customFormat="false" ht="43.5" hidden="false" customHeight="true" outlineLevel="0" collapsed="false">
      <c r="A8" s="4" t="s">
        <v>85</v>
      </c>
      <c r="B8" s="5" t="s">
        <v>90</v>
      </c>
      <c r="C8" s="6" t="s">
        <v>91</v>
      </c>
      <c r="D8" s="12" t="s">
        <v>79</v>
      </c>
      <c r="E8" s="6"/>
    </row>
    <row r="9" customFormat="false" ht="43.5" hidden="false" customHeight="true" outlineLevel="0" collapsed="false">
      <c r="A9" s="4" t="s">
        <v>92</v>
      </c>
      <c r="B9" s="5" t="s">
        <v>93</v>
      </c>
      <c r="C9" s="6" t="s">
        <v>94</v>
      </c>
      <c r="D9" s="9" t="s">
        <v>88</v>
      </c>
      <c r="E9" s="6"/>
    </row>
    <row r="10" customFormat="false" ht="43.5" hidden="false" customHeight="true" outlineLevel="0" collapsed="false">
      <c r="A10" s="4" t="s">
        <v>92</v>
      </c>
      <c r="B10" s="5" t="s">
        <v>95</v>
      </c>
      <c r="C10" s="6" t="s">
        <v>96</v>
      </c>
      <c r="D10" s="12" t="s">
        <v>79</v>
      </c>
      <c r="E10" s="6"/>
    </row>
    <row r="11" customFormat="false" ht="43.5" hidden="false" customHeight="true" outlineLevel="0" collapsed="false">
      <c r="A11" s="4" t="s">
        <v>97</v>
      </c>
      <c r="B11" s="5" t="s">
        <v>98</v>
      </c>
      <c r="C11" s="6" t="s">
        <v>99</v>
      </c>
      <c r="D11" s="7" t="s">
        <v>100</v>
      </c>
      <c r="E11" s="6"/>
    </row>
    <row r="12" customFormat="false" ht="43.5" hidden="false" customHeight="true" outlineLevel="0" collapsed="false">
      <c r="A12" s="4" t="s">
        <v>97</v>
      </c>
      <c r="B12" s="5" t="s">
        <v>101</v>
      </c>
      <c r="C12" s="6" t="s">
        <v>102</v>
      </c>
      <c r="D12" s="12" t="s">
        <v>79</v>
      </c>
      <c r="E12" s="6"/>
    </row>
    <row r="14" customFormat="false" ht="15" hidden="false" customHeight="false" outlineLevel="0" collapsed="false">
      <c r="A14" s="20" t="s">
        <v>103</v>
      </c>
    </row>
    <row r="15" customFormat="false" ht="15" hidden="false" customHeight="false" outlineLevel="0" collapsed="false">
      <c r="A15" s="3"/>
      <c r="B15" s="3" t="s">
        <v>104</v>
      </c>
      <c r="C15" s="3" t="s">
        <v>105</v>
      </c>
      <c r="D15" s="3"/>
      <c r="E15" s="3"/>
    </row>
    <row r="16" customFormat="false" ht="25.5" hidden="false" customHeight="true" outlineLevel="0" collapsed="false">
      <c r="B16" s="5" t="s">
        <v>7</v>
      </c>
      <c r="C16" s="6" t="s">
        <v>106</v>
      </c>
    </row>
    <row r="17" customFormat="false" ht="25.5" hidden="false" customHeight="true" outlineLevel="0" collapsed="false">
      <c r="B17" s="5" t="s">
        <v>107</v>
      </c>
      <c r="C17" s="6" t="s">
        <v>108</v>
      </c>
    </row>
    <row r="18" customFormat="false" ht="25.5" hidden="false" customHeight="true" outlineLevel="0" collapsed="false">
      <c r="B18" s="5" t="s">
        <v>109</v>
      </c>
      <c r="C18" s="6" t="s">
        <v>110</v>
      </c>
    </row>
    <row r="19" customFormat="false" ht="25.5" hidden="false" customHeight="true" outlineLevel="0" collapsed="false">
      <c r="B19" s="5" t="s">
        <v>111</v>
      </c>
      <c r="C19" s="6" t="s">
        <v>112</v>
      </c>
    </row>
    <row r="21" customFormat="false" ht="15" hidden="false" customHeight="false" outlineLevel="0" collapsed="false">
      <c r="B21" s="2" t="s">
        <v>113</v>
      </c>
      <c r="C21" s="2"/>
      <c r="D21" s="2"/>
      <c r="E21" s="2"/>
    </row>
  </sheetData>
  <mergeCells count="2">
    <mergeCell ref="A2:E2"/>
    <mergeCell ref="B21:E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62"/>
    <col collapsed="false" customWidth="true" hidden="false" outlineLevel="0" max="4" min="4" style="0" width="14"/>
  </cols>
  <sheetData>
    <row r="1" customFormat="false" ht="17.35" hidden="false" customHeight="false" outlineLevel="0" collapsed="false">
      <c r="A1" s="1" t="s">
        <v>114</v>
      </c>
    </row>
    <row r="2" customFormat="false" ht="15" hidden="false" customHeight="false" outlineLevel="0" collapsed="false">
      <c r="A2" s="2" t="s">
        <v>115</v>
      </c>
      <c r="B2" s="2"/>
      <c r="C2" s="2"/>
      <c r="D2" s="2"/>
    </row>
    <row r="4" customFormat="false" ht="15" hidden="false" customHeight="false" outlineLevel="0" collapsed="false">
      <c r="A4" s="3" t="s">
        <v>2</v>
      </c>
      <c r="B4" s="3" t="s">
        <v>116</v>
      </c>
      <c r="C4" s="3" t="s">
        <v>117</v>
      </c>
      <c r="D4" s="3" t="s">
        <v>118</v>
      </c>
    </row>
    <row r="5" customFormat="false" ht="42" hidden="false" customHeight="true" outlineLevel="0" collapsed="false">
      <c r="A5" s="4" t="n">
        <v>1</v>
      </c>
      <c r="B5" s="5" t="s">
        <v>119</v>
      </c>
      <c r="C5" s="6" t="s">
        <v>120</v>
      </c>
      <c r="D5" s="9" t="s">
        <v>121</v>
      </c>
    </row>
    <row r="6" customFormat="false" ht="42" hidden="false" customHeight="true" outlineLevel="0" collapsed="false">
      <c r="A6" s="4" t="n">
        <v>2</v>
      </c>
      <c r="B6" s="5" t="s">
        <v>122</v>
      </c>
      <c r="C6" s="6" t="s">
        <v>123</v>
      </c>
      <c r="D6" s="9" t="s">
        <v>121</v>
      </c>
    </row>
    <row r="7" customFormat="false" ht="42" hidden="false" customHeight="true" outlineLevel="0" collapsed="false">
      <c r="A7" s="4" t="n">
        <v>3</v>
      </c>
      <c r="B7" s="5" t="s">
        <v>124</v>
      </c>
      <c r="C7" s="6" t="s">
        <v>125</v>
      </c>
      <c r="D7" s="9" t="s">
        <v>121</v>
      </c>
    </row>
    <row r="8" customFormat="false" ht="42" hidden="false" customHeight="true" outlineLevel="0" collapsed="false">
      <c r="A8" s="4" t="n">
        <v>4</v>
      </c>
      <c r="B8" s="5" t="s">
        <v>126</v>
      </c>
      <c r="C8" s="6" t="s">
        <v>127</v>
      </c>
      <c r="D8" s="9" t="s">
        <v>121</v>
      </c>
    </row>
    <row r="9" customFormat="false" ht="42" hidden="false" customHeight="true" outlineLevel="0" collapsed="false">
      <c r="A9" s="4" t="n">
        <v>5</v>
      </c>
      <c r="B9" s="5" t="s">
        <v>128</v>
      </c>
      <c r="C9" s="6" t="s">
        <v>129</v>
      </c>
      <c r="D9" s="9" t="s">
        <v>121</v>
      </c>
    </row>
    <row r="10" customFormat="false" ht="42" hidden="false" customHeight="true" outlineLevel="0" collapsed="false">
      <c r="A10" s="4" t="n">
        <v>6</v>
      </c>
      <c r="B10" s="5" t="s">
        <v>130</v>
      </c>
      <c r="C10" s="6" t="s">
        <v>131</v>
      </c>
      <c r="D10" s="9" t="s">
        <v>121</v>
      </c>
    </row>
    <row r="11" customFormat="false" ht="42" hidden="false" customHeight="true" outlineLevel="0" collapsed="false">
      <c r="A11" s="4" t="n">
        <v>7</v>
      </c>
      <c r="B11" s="5" t="s">
        <v>132</v>
      </c>
      <c r="C11" s="6" t="s">
        <v>133</v>
      </c>
      <c r="D11" s="9" t="s">
        <v>121</v>
      </c>
    </row>
    <row r="12" customFormat="false" ht="42" hidden="false" customHeight="true" outlineLevel="0" collapsed="false">
      <c r="A12" s="4" t="n">
        <v>8</v>
      </c>
      <c r="B12" s="5" t="s">
        <v>134</v>
      </c>
      <c r="C12" s="6" t="s">
        <v>135</v>
      </c>
      <c r="D12" s="9" t="s">
        <v>121</v>
      </c>
    </row>
    <row r="13" customFormat="false" ht="42" hidden="false" customHeight="true" outlineLevel="0" collapsed="false">
      <c r="A13" s="4" t="n">
        <v>9</v>
      </c>
      <c r="B13" s="5" t="s">
        <v>136</v>
      </c>
      <c r="C13" s="6" t="s">
        <v>137</v>
      </c>
      <c r="D13" s="9" t="s">
        <v>121</v>
      </c>
    </row>
    <row r="14" customFormat="false" ht="42" hidden="false" customHeight="true" outlineLevel="0" collapsed="false">
      <c r="A14" s="4" t="n">
        <v>10</v>
      </c>
      <c r="B14" s="5" t="s">
        <v>138</v>
      </c>
      <c r="C14" s="6" t="s">
        <v>139</v>
      </c>
      <c r="D14" s="9" t="s">
        <v>121</v>
      </c>
    </row>
    <row r="15" customFormat="false" ht="42" hidden="false" customHeight="true" outlineLevel="0" collapsed="false">
      <c r="A15" s="4" t="n">
        <v>11</v>
      </c>
      <c r="B15" s="5" t="s">
        <v>140</v>
      </c>
      <c r="C15" s="6" t="s">
        <v>141</v>
      </c>
      <c r="D15" s="9" t="s">
        <v>121</v>
      </c>
    </row>
    <row r="16" customFormat="false" ht="42" hidden="false" customHeight="true" outlineLevel="0" collapsed="false">
      <c r="A16" s="4" t="n">
        <v>12</v>
      </c>
      <c r="B16" s="5" t="s">
        <v>142</v>
      </c>
      <c r="C16" s="6" t="s">
        <v>143</v>
      </c>
      <c r="D16" s="9" t="s">
        <v>121</v>
      </c>
    </row>
    <row r="17" customFormat="false" ht="42" hidden="false" customHeight="true" outlineLevel="0" collapsed="false">
      <c r="A17" s="4" t="n">
        <v>13</v>
      </c>
      <c r="B17" s="5" t="s">
        <v>144</v>
      </c>
      <c r="C17" s="6" t="s">
        <v>145</v>
      </c>
      <c r="D17" s="9" t="s">
        <v>121</v>
      </c>
    </row>
    <row r="19" customFormat="false" ht="15" hidden="false" customHeight="false" outlineLevel="0" collapsed="false">
      <c r="A19" s="20" t="s">
        <v>146</v>
      </c>
    </row>
    <row r="20" customFormat="false" ht="15" hidden="false" customHeight="false" outlineLevel="0" collapsed="false">
      <c r="A20" s="3" t="s">
        <v>2</v>
      </c>
      <c r="B20" s="3" t="s">
        <v>147</v>
      </c>
      <c r="C20" s="3" t="s">
        <v>148</v>
      </c>
      <c r="D20" s="3" t="s">
        <v>118</v>
      </c>
    </row>
    <row r="21" customFormat="false" ht="39.75" hidden="false" customHeight="true" outlineLevel="0" collapsed="false">
      <c r="A21" s="4" t="n">
        <v>1</v>
      </c>
      <c r="B21" s="5" t="s">
        <v>149</v>
      </c>
      <c r="C21" s="6" t="s">
        <v>150</v>
      </c>
      <c r="D21" s="8" t="s">
        <v>151</v>
      </c>
    </row>
    <row r="22" customFormat="false" ht="39.75" hidden="false" customHeight="true" outlineLevel="0" collapsed="false">
      <c r="A22" s="4" t="n">
        <v>2</v>
      </c>
      <c r="B22" s="5" t="s">
        <v>152</v>
      </c>
      <c r="C22" s="6" t="s">
        <v>153</v>
      </c>
      <c r="D22" s="8" t="s">
        <v>151</v>
      </c>
    </row>
    <row r="23" customFormat="false" ht="39.75" hidden="false" customHeight="true" outlineLevel="0" collapsed="false">
      <c r="A23" s="4" t="n">
        <v>3</v>
      </c>
      <c r="B23" s="5" t="s">
        <v>154</v>
      </c>
      <c r="C23" s="6" t="s">
        <v>155</v>
      </c>
      <c r="D23" s="8" t="s">
        <v>151</v>
      </c>
    </row>
    <row r="24" customFormat="false" ht="39.75" hidden="false" customHeight="true" outlineLevel="0" collapsed="false">
      <c r="A24" s="4" t="n">
        <v>4</v>
      </c>
      <c r="B24" s="5" t="s">
        <v>156</v>
      </c>
      <c r="C24" s="6" t="s">
        <v>157</v>
      </c>
      <c r="D24" s="8" t="s">
        <v>151</v>
      </c>
    </row>
    <row r="25" customFormat="false" ht="39.75" hidden="false" customHeight="true" outlineLevel="0" collapsed="false">
      <c r="A25" s="4" t="n">
        <v>5</v>
      </c>
      <c r="B25" s="5" t="s">
        <v>158</v>
      </c>
      <c r="C25" s="6" t="s">
        <v>159</v>
      </c>
      <c r="D25" s="8" t="s">
        <v>151</v>
      </c>
    </row>
    <row r="26" customFormat="false" ht="39.75" hidden="false" customHeight="true" outlineLevel="0" collapsed="false">
      <c r="A26" s="4" t="n">
        <v>6</v>
      </c>
      <c r="B26" s="5" t="s">
        <v>160</v>
      </c>
      <c r="C26" s="6" t="s">
        <v>161</v>
      </c>
      <c r="D26" s="8" t="s">
        <v>151</v>
      </c>
    </row>
    <row r="27" customFormat="false" ht="39.75" hidden="false" customHeight="true" outlineLevel="0" collapsed="false">
      <c r="A27" s="4" t="n">
        <v>7</v>
      </c>
      <c r="B27" s="5" t="s">
        <v>162</v>
      </c>
      <c r="C27" s="6" t="s">
        <v>163</v>
      </c>
      <c r="D27" s="8" t="s">
        <v>151</v>
      </c>
    </row>
    <row r="28" customFormat="false" ht="39.75" hidden="false" customHeight="true" outlineLevel="0" collapsed="false">
      <c r="A28" s="4" t="n">
        <v>8</v>
      </c>
      <c r="B28" s="5" t="s">
        <v>164</v>
      </c>
      <c r="C28" s="6" t="s">
        <v>165</v>
      </c>
      <c r="D28" s="8" t="s">
        <v>151</v>
      </c>
    </row>
  </sheetData>
  <mergeCells count="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66"/>
    <col collapsed="false" customWidth="true" hidden="false" outlineLevel="0" max="3" min="3" style="0" width="18"/>
    <col collapsed="false" customWidth="true" hidden="false" outlineLevel="0" max="4" min="4" style="0" width="14"/>
  </cols>
  <sheetData>
    <row r="1" customFormat="false" ht="17.35" hidden="false" customHeight="false" outlineLevel="0" collapsed="false">
      <c r="A1" s="1" t="s">
        <v>166</v>
      </c>
    </row>
    <row r="2" customFormat="false" ht="15" hidden="false" customHeight="false" outlineLevel="0" collapsed="false">
      <c r="A2" s="2" t="s">
        <v>167</v>
      </c>
      <c r="B2" s="2"/>
      <c r="C2" s="2"/>
      <c r="D2" s="2"/>
    </row>
    <row r="4" customFormat="false" ht="15" hidden="false" customHeight="false" outlineLevel="0" collapsed="false">
      <c r="A4" s="20" t="s">
        <v>168</v>
      </c>
    </row>
    <row r="5" customFormat="false" ht="15" hidden="false" customHeight="false" outlineLevel="0" collapsed="false">
      <c r="A5" s="3" t="s">
        <v>2</v>
      </c>
      <c r="B5" s="3" t="s">
        <v>169</v>
      </c>
      <c r="C5" s="3" t="s">
        <v>118</v>
      </c>
      <c r="D5" s="3" t="s">
        <v>170</v>
      </c>
    </row>
    <row r="6" customFormat="false" ht="15" hidden="false" customHeight="false" outlineLevel="0" collapsed="false">
      <c r="A6" s="4" t="n">
        <v>1</v>
      </c>
      <c r="B6" s="6" t="s">
        <v>171</v>
      </c>
      <c r="C6" s="9" t="s">
        <v>172</v>
      </c>
      <c r="D6" s="4" t="n">
        <v>7</v>
      </c>
    </row>
    <row r="7" customFormat="false" ht="15" hidden="false" customHeight="false" outlineLevel="0" collapsed="false">
      <c r="A7" s="4" t="n">
        <v>2</v>
      </c>
      <c r="B7" s="6" t="s">
        <v>173</v>
      </c>
      <c r="C7" s="9" t="s">
        <v>172</v>
      </c>
      <c r="D7" s="4" t="n">
        <v>3</v>
      </c>
    </row>
    <row r="8" customFormat="false" ht="15" hidden="false" customHeight="false" outlineLevel="0" collapsed="false">
      <c r="A8" s="4" t="n">
        <v>3</v>
      </c>
      <c r="B8" s="6" t="s">
        <v>174</v>
      </c>
      <c r="C8" s="9" t="s">
        <v>172</v>
      </c>
      <c r="D8" s="4" t="n">
        <v>3</v>
      </c>
    </row>
    <row r="9" customFormat="false" ht="15" hidden="false" customHeight="false" outlineLevel="0" collapsed="false">
      <c r="B9" s="21" t="s">
        <v>175</v>
      </c>
    </row>
    <row r="11" customFormat="false" ht="15" hidden="false" customHeight="false" outlineLevel="0" collapsed="false">
      <c r="A11" s="20" t="s">
        <v>176</v>
      </c>
    </row>
    <row r="12" customFormat="false" ht="23.85" hidden="false" customHeight="false" outlineLevel="0" collapsed="false">
      <c r="A12" s="3" t="s">
        <v>2</v>
      </c>
      <c r="B12" s="3" t="s">
        <v>177</v>
      </c>
      <c r="C12" s="3" t="s">
        <v>178</v>
      </c>
      <c r="D12" s="3" t="s">
        <v>179</v>
      </c>
    </row>
    <row r="13" customFormat="false" ht="15" hidden="false" customHeight="false" outlineLevel="0" collapsed="false">
      <c r="A13" s="4" t="n">
        <v>1</v>
      </c>
      <c r="B13" s="6" t="s">
        <v>180</v>
      </c>
      <c r="C13" s="4" t="s">
        <v>181</v>
      </c>
      <c r="D13" s="4" t="s">
        <v>182</v>
      </c>
    </row>
    <row r="14" customFormat="false" ht="15" hidden="false" customHeight="false" outlineLevel="0" collapsed="false">
      <c r="A14" s="4" t="n">
        <v>2</v>
      </c>
      <c r="B14" s="6" t="s">
        <v>183</v>
      </c>
      <c r="C14" s="4" t="s">
        <v>181</v>
      </c>
      <c r="D14" s="4" t="s">
        <v>182</v>
      </c>
    </row>
    <row r="16" customFormat="false" ht="15" hidden="false" customHeight="false" outlineLevel="0" collapsed="false">
      <c r="A16" s="20" t="s">
        <v>184</v>
      </c>
    </row>
    <row r="17" customFormat="false" ht="15" hidden="false" customHeight="false" outlineLevel="0" collapsed="false">
      <c r="A17" s="22" t="s">
        <v>185</v>
      </c>
    </row>
    <row r="18" customFormat="false" ht="23.85" hidden="false" customHeight="false" outlineLevel="0" collapsed="false">
      <c r="A18" s="3" t="s">
        <v>2</v>
      </c>
      <c r="B18" s="3" t="s">
        <v>177</v>
      </c>
      <c r="C18" s="3" t="s">
        <v>186</v>
      </c>
      <c r="D18" s="3" t="s">
        <v>118</v>
      </c>
    </row>
    <row r="19" customFormat="false" ht="15" hidden="false" customHeight="false" outlineLevel="0" collapsed="false">
      <c r="A19" s="4" t="n">
        <v>1</v>
      </c>
      <c r="B19" s="5" t="s">
        <v>187</v>
      </c>
      <c r="C19" s="6" t="s">
        <v>188</v>
      </c>
      <c r="D19" s="7" t="s">
        <v>189</v>
      </c>
    </row>
    <row r="20" customFormat="false" ht="15" hidden="false" customHeight="false" outlineLevel="0" collapsed="false">
      <c r="A20" s="4" t="n">
        <v>2</v>
      </c>
      <c r="B20" s="5" t="s">
        <v>190</v>
      </c>
      <c r="C20" s="11" t="s">
        <v>191</v>
      </c>
      <c r="D20" s="7" t="s">
        <v>189</v>
      </c>
    </row>
    <row r="21" customFormat="false" ht="15" hidden="false" customHeight="false" outlineLevel="0" collapsed="false">
      <c r="A21" s="4" t="n">
        <v>3</v>
      </c>
      <c r="B21" s="5" t="s">
        <v>192</v>
      </c>
      <c r="C21" s="11" t="s">
        <v>191</v>
      </c>
      <c r="D21" s="7" t="s">
        <v>189</v>
      </c>
    </row>
    <row r="22" customFormat="false" ht="15" hidden="false" customHeight="false" outlineLevel="0" collapsed="false">
      <c r="A22" s="4" t="n">
        <v>4</v>
      </c>
      <c r="B22" s="5" t="s">
        <v>193</v>
      </c>
      <c r="C22" s="11" t="s">
        <v>191</v>
      </c>
      <c r="D22" s="7" t="s">
        <v>189</v>
      </c>
    </row>
    <row r="23" customFormat="false" ht="15" hidden="false" customHeight="false" outlineLevel="0" collapsed="false">
      <c r="A23" s="4" t="n">
        <v>5</v>
      </c>
      <c r="B23" s="5" t="s">
        <v>194</v>
      </c>
      <c r="C23" s="11" t="s">
        <v>191</v>
      </c>
      <c r="D23" s="7" t="s">
        <v>189</v>
      </c>
    </row>
    <row r="24" customFormat="false" ht="15" hidden="false" customHeight="false" outlineLevel="0" collapsed="false">
      <c r="A24" s="4" t="n">
        <v>6</v>
      </c>
      <c r="B24" s="5" t="s">
        <v>195</v>
      </c>
      <c r="C24" s="11" t="s">
        <v>191</v>
      </c>
      <c r="D24" s="7" t="s">
        <v>189</v>
      </c>
    </row>
    <row r="26" customFormat="false" ht="15" hidden="false" customHeight="false" outlineLevel="0" collapsed="false">
      <c r="A26" s="2" t="s">
        <v>196</v>
      </c>
      <c r="B26" s="2"/>
      <c r="C26" s="2"/>
      <c r="D26" s="2"/>
    </row>
  </sheetData>
  <mergeCells count="2">
    <mergeCell ref="A2:D2"/>
    <mergeCell ref="A26:D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4"/>
    <col collapsed="false" customWidth="true" hidden="false" outlineLevel="0" max="3" min="3" style="0" width="26"/>
    <col collapsed="false" customWidth="true" hidden="false" outlineLevel="0" max="4" min="4" style="0" width="42"/>
    <col collapsed="false" customWidth="true" hidden="false" outlineLevel="0" max="5" min="5" style="0" width="34"/>
  </cols>
  <sheetData>
    <row r="1" customFormat="false" ht="17.35" hidden="false" customHeight="false" outlineLevel="0" collapsed="false">
      <c r="A1" s="1" t="s">
        <v>197</v>
      </c>
    </row>
    <row r="2" customFormat="false" ht="15" hidden="false" customHeight="false" outlineLevel="0" collapsed="false">
      <c r="A2" s="2" t="s">
        <v>198</v>
      </c>
      <c r="B2" s="2"/>
      <c r="C2" s="2"/>
      <c r="D2" s="2"/>
      <c r="E2" s="2"/>
    </row>
    <row r="4" customFormat="false" ht="15" hidden="false" customHeight="false" outlineLevel="0" collapsed="false">
      <c r="A4" s="3" t="s">
        <v>199</v>
      </c>
      <c r="B4" s="3" t="s">
        <v>200</v>
      </c>
      <c r="C4" s="3" t="s">
        <v>201</v>
      </c>
      <c r="D4" s="3" t="s">
        <v>202</v>
      </c>
      <c r="E4" s="3" t="s">
        <v>203</v>
      </c>
    </row>
    <row r="5" customFormat="false" ht="45.75" hidden="false" customHeight="true" outlineLevel="0" collapsed="false">
      <c r="A5" s="5" t="s">
        <v>7</v>
      </c>
      <c r="B5" s="11" t="s">
        <v>204</v>
      </c>
      <c r="C5" s="6" t="s">
        <v>205</v>
      </c>
      <c r="D5" s="6" t="s">
        <v>206</v>
      </c>
      <c r="E5" s="6" t="s">
        <v>207</v>
      </c>
    </row>
    <row r="6" customFormat="false" ht="45.75" hidden="false" customHeight="true" outlineLevel="0" collapsed="false">
      <c r="A6" s="5" t="s">
        <v>208</v>
      </c>
      <c r="B6" s="11" t="s">
        <v>209</v>
      </c>
      <c r="C6" s="6" t="s">
        <v>210</v>
      </c>
      <c r="D6" s="6" t="s">
        <v>211</v>
      </c>
      <c r="E6" s="6" t="s">
        <v>212</v>
      </c>
    </row>
    <row r="7" customFormat="false" ht="45.75" hidden="false" customHeight="true" outlineLevel="0" collapsed="false">
      <c r="A7" s="5" t="s">
        <v>213</v>
      </c>
      <c r="B7" s="11" t="s">
        <v>214</v>
      </c>
      <c r="C7" s="6" t="s">
        <v>215</v>
      </c>
      <c r="D7" s="6" t="s">
        <v>216</v>
      </c>
      <c r="E7" s="6" t="s">
        <v>212</v>
      </c>
    </row>
    <row r="8" customFormat="false" ht="45.75" hidden="false" customHeight="true" outlineLevel="0" collapsed="false">
      <c r="A8" s="5" t="s">
        <v>217</v>
      </c>
      <c r="B8" s="6" t="s">
        <v>218</v>
      </c>
      <c r="C8" s="6" t="s">
        <v>219</v>
      </c>
      <c r="D8" s="6" t="s">
        <v>220</v>
      </c>
      <c r="E8" s="6" t="s">
        <v>212</v>
      </c>
    </row>
    <row r="9" customFormat="false" ht="45.75" hidden="false" customHeight="true" outlineLevel="0" collapsed="false">
      <c r="A9" s="5" t="s">
        <v>221</v>
      </c>
      <c r="B9" s="6" t="s">
        <v>222</v>
      </c>
      <c r="C9" s="6" t="s">
        <v>223</v>
      </c>
      <c r="D9" s="6" t="s">
        <v>224</v>
      </c>
      <c r="E9" s="6" t="s">
        <v>225</v>
      </c>
    </row>
    <row r="10" customFormat="false" ht="45.75" hidden="false" customHeight="true" outlineLevel="0" collapsed="false">
      <c r="A10" s="5" t="s">
        <v>226</v>
      </c>
      <c r="B10" s="11" t="s">
        <v>227</v>
      </c>
      <c r="C10" s="6" t="s">
        <v>223</v>
      </c>
      <c r="D10" s="6" t="s">
        <v>228</v>
      </c>
      <c r="E10" s="6" t="s">
        <v>229</v>
      </c>
    </row>
    <row r="11" customFormat="false" ht="45.75" hidden="false" customHeight="true" outlineLevel="0" collapsed="false">
      <c r="A11" s="5" t="s">
        <v>230</v>
      </c>
      <c r="B11" s="6" t="s">
        <v>231</v>
      </c>
      <c r="C11" s="6" t="s">
        <v>232</v>
      </c>
      <c r="D11" s="6" t="s">
        <v>233</v>
      </c>
      <c r="E11" s="6" t="s">
        <v>234</v>
      </c>
    </row>
    <row r="13" customFormat="false" ht="15" hidden="false" customHeight="false" outlineLevel="0" collapsed="false">
      <c r="A13" s="20" t="s">
        <v>235</v>
      </c>
    </row>
    <row r="14" customFormat="false" ht="51.75" hidden="false" customHeight="true" outlineLevel="0" collapsed="false">
      <c r="A14" s="5" t="s">
        <v>236</v>
      </c>
      <c r="B14" s="6" t="s">
        <v>237</v>
      </c>
      <c r="C14" s="6"/>
      <c r="D14" s="6"/>
      <c r="E14" s="6"/>
    </row>
    <row r="15" customFormat="false" ht="51.75" hidden="false" customHeight="true" outlineLevel="0" collapsed="false">
      <c r="A15" s="5" t="s">
        <v>238</v>
      </c>
      <c r="B15" s="6" t="s">
        <v>239</v>
      </c>
      <c r="C15" s="6"/>
      <c r="D15" s="6"/>
      <c r="E15" s="6"/>
    </row>
    <row r="16" customFormat="false" ht="51.75" hidden="false" customHeight="true" outlineLevel="0" collapsed="false">
      <c r="A16" s="5" t="s">
        <v>240</v>
      </c>
      <c r="B16" s="6" t="s">
        <v>241</v>
      </c>
      <c r="C16" s="6"/>
      <c r="D16" s="6"/>
      <c r="E16" s="6"/>
    </row>
    <row r="17" customFormat="false" ht="51.75" hidden="false" customHeight="true" outlineLevel="0" collapsed="false">
      <c r="A17" s="5" t="s">
        <v>242</v>
      </c>
      <c r="B17" s="6" t="s">
        <v>243</v>
      </c>
      <c r="C17" s="6"/>
      <c r="D17" s="6"/>
      <c r="E17" s="6"/>
    </row>
  </sheetData>
  <mergeCells count="5">
    <mergeCell ref="A2:E2"/>
    <mergeCell ref="B14:E14"/>
    <mergeCell ref="B15:E15"/>
    <mergeCell ref="B16:E16"/>
    <mergeCell ref="B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18"/>
    <col collapsed="false" customWidth="true" hidden="false" outlineLevel="0" max="4" min="4" style="0" width="58"/>
    <col collapsed="false" customWidth="true" hidden="false" outlineLevel="0" max="5" min="5" style="0" width="14"/>
  </cols>
  <sheetData>
    <row r="1" customFormat="false" ht="17.35" hidden="false" customHeight="false" outlineLevel="0" collapsed="false">
      <c r="A1" s="1" t="s">
        <v>244</v>
      </c>
    </row>
    <row r="2" customFormat="false" ht="15" hidden="false" customHeight="false" outlineLevel="0" collapsed="false">
      <c r="A2" s="2" t="s">
        <v>245</v>
      </c>
      <c r="B2" s="2"/>
      <c r="C2" s="2"/>
      <c r="D2" s="2"/>
      <c r="E2" s="2"/>
    </row>
    <row r="4" customFormat="false" ht="15" hidden="false" customHeight="false" outlineLevel="0" collapsed="false">
      <c r="A4" s="3" t="s">
        <v>2</v>
      </c>
      <c r="B4" s="3" t="s">
        <v>246</v>
      </c>
      <c r="C4" s="3" t="s">
        <v>247</v>
      </c>
      <c r="D4" s="3" t="s">
        <v>248</v>
      </c>
      <c r="E4" s="3" t="s">
        <v>118</v>
      </c>
    </row>
    <row r="5" customFormat="false" ht="39.75" hidden="false" customHeight="true" outlineLevel="0" collapsed="false">
      <c r="A5" s="4" t="n">
        <v>1</v>
      </c>
      <c r="B5" s="5" t="s">
        <v>249</v>
      </c>
      <c r="C5" s="23" t="s">
        <v>250</v>
      </c>
      <c r="D5" s="6" t="s">
        <v>251</v>
      </c>
      <c r="E5" s="7" t="s">
        <v>252</v>
      </c>
    </row>
    <row r="6" customFormat="false" ht="39.75" hidden="false" customHeight="true" outlineLevel="0" collapsed="false">
      <c r="A6" s="4" t="n">
        <v>2</v>
      </c>
      <c r="B6" s="5" t="s">
        <v>253</v>
      </c>
      <c r="C6" s="23" t="s">
        <v>254</v>
      </c>
      <c r="D6" s="6" t="s">
        <v>255</v>
      </c>
      <c r="E6" s="7" t="s">
        <v>252</v>
      </c>
    </row>
    <row r="7" customFormat="false" ht="39.75" hidden="false" customHeight="true" outlineLevel="0" collapsed="false">
      <c r="A7" s="4" t="n">
        <v>3</v>
      </c>
      <c r="B7" s="5" t="s">
        <v>256</v>
      </c>
      <c r="C7" s="23" t="s">
        <v>257</v>
      </c>
      <c r="D7" s="6" t="s">
        <v>258</v>
      </c>
      <c r="E7" s="7" t="s">
        <v>252</v>
      </c>
    </row>
    <row r="8" customFormat="false" ht="39.75" hidden="false" customHeight="true" outlineLevel="0" collapsed="false">
      <c r="A8" s="4" t="n">
        <v>4</v>
      </c>
      <c r="B8" s="5" t="s">
        <v>259</v>
      </c>
      <c r="C8" s="23" t="s">
        <v>257</v>
      </c>
      <c r="D8" s="6" t="s">
        <v>260</v>
      </c>
      <c r="E8" s="7" t="s">
        <v>252</v>
      </c>
    </row>
    <row r="9" customFormat="false" ht="39.75" hidden="false" customHeight="true" outlineLevel="0" collapsed="false">
      <c r="A9" s="4" t="n">
        <v>5</v>
      </c>
      <c r="B9" s="5" t="s">
        <v>261</v>
      </c>
      <c r="C9" s="23" t="s">
        <v>262</v>
      </c>
      <c r="D9" s="6" t="s">
        <v>263</v>
      </c>
      <c r="E9" s="7" t="s">
        <v>252</v>
      </c>
    </row>
    <row r="10" customFormat="false" ht="39.75" hidden="false" customHeight="true" outlineLevel="0" collapsed="false">
      <c r="A10" s="4" t="n">
        <v>6</v>
      </c>
      <c r="B10" s="5" t="s">
        <v>264</v>
      </c>
      <c r="C10" s="23" t="s">
        <v>262</v>
      </c>
      <c r="D10" s="6" t="s">
        <v>263</v>
      </c>
      <c r="E10" s="7" t="s">
        <v>252</v>
      </c>
    </row>
    <row r="11" customFormat="false" ht="39.75" hidden="false" customHeight="true" outlineLevel="0" collapsed="false">
      <c r="A11" s="4" t="n">
        <v>7</v>
      </c>
      <c r="B11" s="5" t="s">
        <v>265</v>
      </c>
      <c r="C11" s="23" t="s">
        <v>266</v>
      </c>
      <c r="D11" s="6" t="s">
        <v>267</v>
      </c>
      <c r="E11" s="7" t="s">
        <v>252</v>
      </c>
    </row>
    <row r="12" customFormat="false" ht="39.75" hidden="false" customHeight="true" outlineLevel="0" collapsed="false">
      <c r="A12" s="4" t="n">
        <v>8</v>
      </c>
      <c r="B12" s="5" t="s">
        <v>268</v>
      </c>
      <c r="C12" s="23" t="s">
        <v>257</v>
      </c>
      <c r="D12" s="6" t="s">
        <v>269</v>
      </c>
      <c r="E12" s="7" t="s">
        <v>252</v>
      </c>
    </row>
    <row r="14" customFormat="false" ht="15" hidden="false" customHeight="false" outlineLevel="0" collapsed="false">
      <c r="B14" s="24" t="s">
        <v>270</v>
      </c>
      <c r="C14" s="24"/>
      <c r="D14" s="24"/>
      <c r="E14" s="24"/>
    </row>
  </sheetData>
  <mergeCells count="2">
    <mergeCell ref="A2:E2"/>
    <mergeCell ref="B14:E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34"/>
    <col collapsed="false" customWidth="true" hidden="false" outlineLevel="0" max="4" min="4" style="0" width="32"/>
    <col collapsed="false" customWidth="true" hidden="false" outlineLevel="0" max="5" min="5" style="0" width="56"/>
    <col collapsed="false" customWidth="true" hidden="false" outlineLevel="0" max="6" min="6" style="0" width="26"/>
  </cols>
  <sheetData>
    <row r="1" customFormat="false" ht="17.35" hidden="false" customHeight="false" outlineLevel="0" collapsed="false">
      <c r="A1" s="1" t="s">
        <v>271</v>
      </c>
    </row>
    <row r="2" customFormat="false" ht="15" hidden="false" customHeight="false" outlineLevel="0" collapsed="false">
      <c r="A2" s="2" t="s">
        <v>272</v>
      </c>
      <c r="B2" s="2"/>
      <c r="C2" s="2"/>
      <c r="D2" s="2"/>
      <c r="E2" s="2"/>
      <c r="F2" s="2"/>
    </row>
    <row r="4" customFormat="false" ht="15" hidden="false" customHeight="false" outlineLevel="0" collapsed="false">
      <c r="A4" s="25" t="s">
        <v>273</v>
      </c>
    </row>
    <row r="5" customFormat="false" ht="39.75" hidden="false" customHeight="true" outlineLevel="0" collapsed="false">
      <c r="A5" s="11" t="s">
        <v>274</v>
      </c>
      <c r="B5" s="11"/>
      <c r="C5" s="11"/>
      <c r="D5" s="11"/>
      <c r="E5" s="11"/>
      <c r="F5" s="11"/>
    </row>
    <row r="7" customFormat="false" ht="15" hidden="false" customHeight="false" outlineLevel="0" collapsed="false">
      <c r="A7" s="3" t="s">
        <v>2</v>
      </c>
      <c r="B7" s="3" t="s">
        <v>275</v>
      </c>
      <c r="C7" s="3" t="s">
        <v>276</v>
      </c>
      <c r="D7" s="3" t="s">
        <v>277</v>
      </c>
      <c r="E7" s="3" t="s">
        <v>278</v>
      </c>
      <c r="F7" s="3" t="s">
        <v>279</v>
      </c>
    </row>
    <row r="8" customFormat="false" ht="78" hidden="false" customHeight="true" outlineLevel="0" collapsed="false">
      <c r="A8" s="4" t="n">
        <v>1</v>
      </c>
      <c r="B8" s="5" t="s">
        <v>14</v>
      </c>
      <c r="C8" s="6" t="s">
        <v>280</v>
      </c>
      <c r="D8" s="6" t="s">
        <v>281</v>
      </c>
      <c r="E8" s="6" t="s">
        <v>282</v>
      </c>
      <c r="F8" s="11" t="s">
        <v>283</v>
      </c>
    </row>
    <row r="9" customFormat="false" ht="78" hidden="false" customHeight="true" outlineLevel="0" collapsed="false">
      <c r="A9" s="4" t="n">
        <v>2</v>
      </c>
      <c r="B9" s="5" t="s">
        <v>23</v>
      </c>
      <c r="C9" s="6" t="s">
        <v>284</v>
      </c>
      <c r="D9" s="11" t="s">
        <v>285</v>
      </c>
      <c r="E9" s="6" t="s">
        <v>286</v>
      </c>
      <c r="F9" s="11" t="s">
        <v>287</v>
      </c>
    </row>
    <row r="10" customFormat="false" ht="78" hidden="false" customHeight="true" outlineLevel="0" collapsed="false">
      <c r="A10" s="4" t="n">
        <v>3</v>
      </c>
      <c r="B10" s="5" t="s">
        <v>27</v>
      </c>
      <c r="C10" s="6" t="s">
        <v>288</v>
      </c>
      <c r="D10" s="6" t="s">
        <v>289</v>
      </c>
      <c r="E10" s="6" t="s">
        <v>290</v>
      </c>
      <c r="F10" s="11" t="s">
        <v>291</v>
      </c>
    </row>
    <row r="11" customFormat="false" ht="78" hidden="false" customHeight="true" outlineLevel="0" collapsed="false">
      <c r="A11" s="4" t="n">
        <v>4</v>
      </c>
      <c r="B11" s="5" t="s">
        <v>31</v>
      </c>
      <c r="C11" s="6" t="s">
        <v>292</v>
      </c>
      <c r="D11" s="11" t="s">
        <v>293</v>
      </c>
      <c r="E11" s="6" t="s">
        <v>294</v>
      </c>
      <c r="F11" s="11" t="s">
        <v>295</v>
      </c>
    </row>
    <row r="12" customFormat="false" ht="78" hidden="false" customHeight="true" outlineLevel="0" collapsed="false">
      <c r="A12" s="4" t="n">
        <v>5</v>
      </c>
      <c r="B12" s="5" t="s">
        <v>35</v>
      </c>
      <c r="C12" s="6" t="s">
        <v>296</v>
      </c>
      <c r="D12" s="11" t="s">
        <v>297</v>
      </c>
      <c r="E12" s="6" t="s">
        <v>298</v>
      </c>
      <c r="F12" s="11" t="s">
        <v>299</v>
      </c>
    </row>
    <row r="13" customFormat="false" ht="78" hidden="false" customHeight="true" outlineLevel="0" collapsed="false">
      <c r="A13" s="4" t="n">
        <v>6</v>
      </c>
      <c r="B13" s="5" t="s">
        <v>40</v>
      </c>
      <c r="C13" s="6" t="s">
        <v>300</v>
      </c>
      <c r="D13" s="6" t="s">
        <v>301</v>
      </c>
      <c r="E13" s="6" t="s">
        <v>302</v>
      </c>
      <c r="F13" s="11" t="s">
        <v>303</v>
      </c>
    </row>
    <row r="14" customFormat="false" ht="78" hidden="false" customHeight="true" outlineLevel="0" collapsed="false">
      <c r="A14" s="4" t="n">
        <v>7</v>
      </c>
      <c r="B14" s="5" t="s">
        <v>45</v>
      </c>
      <c r="C14" s="6" t="s">
        <v>304</v>
      </c>
      <c r="D14" s="11" t="s">
        <v>305</v>
      </c>
      <c r="E14" s="6" t="s">
        <v>306</v>
      </c>
      <c r="F14" s="11" t="s">
        <v>307</v>
      </c>
    </row>
    <row r="15" customFormat="false" ht="78" hidden="false" customHeight="true" outlineLevel="0" collapsed="false">
      <c r="A15" s="4" t="n">
        <v>8</v>
      </c>
      <c r="B15" s="5" t="s">
        <v>50</v>
      </c>
      <c r="C15" s="6" t="s">
        <v>308</v>
      </c>
      <c r="D15" s="11" t="s">
        <v>309</v>
      </c>
      <c r="E15" s="6" t="s">
        <v>310</v>
      </c>
      <c r="F15" s="11" t="s">
        <v>311</v>
      </c>
    </row>
    <row r="17" customFormat="false" ht="51.75" hidden="false" customHeight="true" outlineLevel="0" collapsed="false">
      <c r="A17" s="2" t="s">
        <v>312</v>
      </c>
      <c r="B17" s="2"/>
      <c r="C17" s="2"/>
      <c r="D17" s="2"/>
      <c r="E17" s="2"/>
      <c r="F17" s="2"/>
    </row>
  </sheetData>
  <mergeCells count="3">
    <mergeCell ref="A2:F2"/>
    <mergeCell ref="A5:F5"/>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36"/>
    <col collapsed="false" customWidth="true" hidden="false" outlineLevel="0" max="3" min="3" style="0" width="34"/>
    <col collapsed="false" customWidth="true" hidden="false" outlineLevel="0" max="4" min="4" style="0" width="30"/>
    <col collapsed="false" customWidth="true" hidden="false" outlineLevel="0" max="5" min="5" style="0" width="20"/>
  </cols>
  <sheetData>
    <row r="1" customFormat="false" ht="17.35" hidden="false" customHeight="false" outlineLevel="0" collapsed="false">
      <c r="A1" s="1" t="s">
        <v>313</v>
      </c>
    </row>
    <row r="2" customFormat="false" ht="15" hidden="false" customHeight="false" outlineLevel="0" collapsed="false">
      <c r="A2" s="2" t="s">
        <v>314</v>
      </c>
      <c r="B2" s="2"/>
      <c r="C2" s="2"/>
      <c r="D2" s="2"/>
      <c r="E2" s="2"/>
    </row>
    <row r="4" customFormat="false" ht="15" hidden="false" customHeight="false" outlineLevel="0" collapsed="false">
      <c r="A4" s="20" t="s">
        <v>315</v>
      </c>
    </row>
    <row r="5" customFormat="false" ht="15" hidden="false" customHeight="false" outlineLevel="0" collapsed="false">
      <c r="A5" s="3" t="s">
        <v>316</v>
      </c>
      <c r="B5" s="3" t="s">
        <v>317</v>
      </c>
      <c r="C5" s="3" t="s">
        <v>318</v>
      </c>
      <c r="D5" s="3" t="s">
        <v>319</v>
      </c>
      <c r="E5" s="3" t="s">
        <v>320</v>
      </c>
    </row>
    <row r="6" customFormat="false" ht="33.75" hidden="false" customHeight="true" outlineLevel="0" collapsed="false">
      <c r="A6" s="5" t="s">
        <v>321</v>
      </c>
      <c r="B6" s="6" t="s">
        <v>322</v>
      </c>
      <c r="C6" s="11" t="s">
        <v>323</v>
      </c>
      <c r="D6" s="6" t="s">
        <v>324</v>
      </c>
      <c r="E6" s="6" t="s">
        <v>325</v>
      </c>
    </row>
    <row r="7" customFormat="false" ht="33.75" hidden="false" customHeight="true" outlineLevel="0" collapsed="false">
      <c r="A7" s="5" t="s">
        <v>326</v>
      </c>
      <c r="B7" s="6" t="s">
        <v>327</v>
      </c>
      <c r="C7" s="11" t="s">
        <v>323</v>
      </c>
      <c r="D7" s="6" t="s">
        <v>328</v>
      </c>
      <c r="E7" s="6" t="s">
        <v>325</v>
      </c>
    </row>
    <row r="8" customFormat="false" ht="33.75" hidden="false" customHeight="true" outlineLevel="0" collapsed="false">
      <c r="A8" s="5" t="s">
        <v>329</v>
      </c>
      <c r="B8" s="6" t="s">
        <v>330</v>
      </c>
      <c r="C8" s="11" t="s">
        <v>331</v>
      </c>
      <c r="D8" s="6" t="s">
        <v>332</v>
      </c>
      <c r="E8" s="6" t="s">
        <v>333</v>
      </c>
    </row>
    <row r="9" customFormat="false" ht="33.75" hidden="false" customHeight="true" outlineLevel="0" collapsed="false">
      <c r="A9" s="5" t="s">
        <v>334</v>
      </c>
      <c r="B9" s="6" t="s">
        <v>335</v>
      </c>
      <c r="C9" s="11" t="s">
        <v>336</v>
      </c>
      <c r="D9" s="6" t="s">
        <v>337</v>
      </c>
      <c r="E9" s="6" t="s">
        <v>325</v>
      </c>
    </row>
    <row r="11" customFormat="false" ht="15" hidden="false" customHeight="false" outlineLevel="0" collapsed="false">
      <c r="A11" s="20" t="s">
        <v>338</v>
      </c>
    </row>
    <row r="12" customFormat="false" ht="15" hidden="false" customHeight="false" outlineLevel="0" collapsed="false">
      <c r="A12" s="3" t="s">
        <v>339</v>
      </c>
      <c r="B12" s="3" t="s">
        <v>340</v>
      </c>
      <c r="C12" s="3" t="s">
        <v>341</v>
      </c>
      <c r="D12" s="3"/>
      <c r="E12" s="3" t="s">
        <v>342</v>
      </c>
    </row>
    <row r="13" customFormat="false" ht="78" hidden="false" customHeight="true" outlineLevel="0" collapsed="false">
      <c r="A13" s="5" t="s">
        <v>343</v>
      </c>
      <c r="B13" s="6" t="s">
        <v>344</v>
      </c>
      <c r="C13" s="6" t="s">
        <v>345</v>
      </c>
      <c r="D13" s="6"/>
      <c r="E13" s="8" t="s">
        <v>346</v>
      </c>
    </row>
    <row r="14" customFormat="false" ht="78" hidden="false" customHeight="true" outlineLevel="0" collapsed="false">
      <c r="A14" s="5" t="s">
        <v>347</v>
      </c>
      <c r="B14" s="6" t="s">
        <v>348</v>
      </c>
      <c r="C14" s="6" t="s">
        <v>349</v>
      </c>
      <c r="D14" s="6"/>
      <c r="E14" s="9" t="s">
        <v>350</v>
      </c>
    </row>
    <row r="15" customFormat="false" ht="78" hidden="false" customHeight="true" outlineLevel="0" collapsed="false">
      <c r="A15" s="5" t="s">
        <v>351</v>
      </c>
      <c r="B15" s="6" t="s">
        <v>352</v>
      </c>
      <c r="C15" s="6" t="s">
        <v>353</v>
      </c>
      <c r="D15" s="6"/>
      <c r="E15" s="7" t="s">
        <v>354</v>
      </c>
    </row>
    <row r="17" customFormat="false" ht="45.75" hidden="false" customHeight="true" outlineLevel="0" collapsed="false">
      <c r="A17" s="26" t="s">
        <v>355</v>
      </c>
      <c r="B17" s="26"/>
      <c r="C17" s="26"/>
      <c r="D17" s="26"/>
      <c r="E17" s="26"/>
    </row>
  </sheetData>
  <mergeCells count="5">
    <mergeCell ref="A2:E2"/>
    <mergeCell ref="C13:D13"/>
    <mergeCell ref="C14:D14"/>
    <mergeCell ref="C15:D15"/>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4"/>
    <col collapsed="false" customWidth="true" hidden="false" outlineLevel="0" max="3" min="3" style="0" width="30"/>
    <col collapsed="false" customWidth="true" hidden="false" outlineLevel="0" max="4" min="4" style="0" width="32"/>
    <col collapsed="false" customWidth="true" hidden="false" outlineLevel="0" max="5" min="5" style="0" width="22"/>
    <col collapsed="false" customWidth="true" hidden="false" outlineLevel="0" max="6" min="6" style="0" width="40"/>
  </cols>
  <sheetData>
    <row r="1" customFormat="false" ht="17.35" hidden="false" customHeight="false" outlineLevel="0" collapsed="false">
      <c r="A1" s="1" t="s">
        <v>356</v>
      </c>
    </row>
    <row r="2" customFormat="false" ht="15" hidden="false" customHeight="false" outlineLevel="0" collapsed="false">
      <c r="A2" s="2" t="s">
        <v>357</v>
      </c>
      <c r="B2" s="2"/>
      <c r="C2" s="2"/>
      <c r="D2" s="2"/>
      <c r="E2" s="2"/>
      <c r="F2" s="2"/>
    </row>
    <row r="4" customFormat="false" ht="72" hidden="false" customHeight="true" outlineLevel="0" collapsed="false">
      <c r="A4" s="26" t="s">
        <v>358</v>
      </c>
      <c r="B4" s="26"/>
      <c r="C4" s="26"/>
      <c r="D4" s="26"/>
      <c r="E4" s="26"/>
      <c r="F4" s="26"/>
    </row>
    <row r="6" customFormat="false" ht="15" hidden="false" customHeight="false" outlineLevel="0" collapsed="false">
      <c r="A6" s="20" t="s">
        <v>359</v>
      </c>
    </row>
    <row r="7" customFormat="false" ht="15" hidden="false" customHeight="false" outlineLevel="0" collapsed="false">
      <c r="A7" s="3" t="s">
        <v>2</v>
      </c>
      <c r="B7" s="3" t="s">
        <v>360</v>
      </c>
      <c r="C7" s="3" t="s">
        <v>361</v>
      </c>
      <c r="D7" s="3" t="s">
        <v>362</v>
      </c>
      <c r="E7" s="3" t="s">
        <v>363</v>
      </c>
      <c r="F7" s="3" t="s">
        <v>364</v>
      </c>
    </row>
    <row r="8" customFormat="false" ht="45.75" hidden="false" customHeight="true" outlineLevel="0" collapsed="false">
      <c r="A8" s="4" t="n">
        <v>1</v>
      </c>
      <c r="B8" s="5" t="s">
        <v>365</v>
      </c>
      <c r="C8" s="6" t="s">
        <v>366</v>
      </c>
      <c r="D8" s="6" t="s">
        <v>367</v>
      </c>
      <c r="E8" s="27" t="s">
        <v>368</v>
      </c>
      <c r="F8" s="11" t="s">
        <v>369</v>
      </c>
    </row>
    <row r="9" customFormat="false" ht="45.75" hidden="false" customHeight="true" outlineLevel="0" collapsed="false">
      <c r="A9" s="4" t="n">
        <v>2</v>
      </c>
      <c r="B9" s="5" t="s">
        <v>370</v>
      </c>
      <c r="C9" s="6" t="s">
        <v>371</v>
      </c>
      <c r="D9" s="6" t="s">
        <v>372</v>
      </c>
      <c r="E9" s="27" t="s">
        <v>373</v>
      </c>
      <c r="F9" s="11" t="s">
        <v>374</v>
      </c>
    </row>
    <row r="10" customFormat="false" ht="45.75" hidden="false" customHeight="true" outlineLevel="0" collapsed="false">
      <c r="A10" s="4" t="n">
        <v>3</v>
      </c>
      <c r="B10" s="5" t="s">
        <v>375</v>
      </c>
      <c r="C10" s="6" t="s">
        <v>376</v>
      </c>
      <c r="D10" s="6" t="s">
        <v>377</v>
      </c>
      <c r="E10" s="27" t="s">
        <v>373</v>
      </c>
      <c r="F10" s="11" t="s">
        <v>378</v>
      </c>
    </row>
    <row r="11" customFormat="false" ht="45.75" hidden="false" customHeight="true" outlineLevel="0" collapsed="false">
      <c r="A11" s="4" t="n">
        <v>4</v>
      </c>
      <c r="B11" s="5" t="s">
        <v>379</v>
      </c>
      <c r="C11" s="6" t="s">
        <v>380</v>
      </c>
      <c r="D11" s="6" t="s">
        <v>381</v>
      </c>
      <c r="E11" s="27" t="s">
        <v>382</v>
      </c>
      <c r="F11" s="11" t="s">
        <v>383</v>
      </c>
    </row>
    <row r="12" customFormat="false" ht="45.75" hidden="false" customHeight="true" outlineLevel="0" collapsed="false">
      <c r="A12" s="4" t="n">
        <v>5</v>
      </c>
      <c r="B12" s="5" t="s">
        <v>384</v>
      </c>
      <c r="C12" s="6" t="s">
        <v>385</v>
      </c>
      <c r="D12" s="6" t="s">
        <v>386</v>
      </c>
      <c r="E12" s="28" t="s">
        <v>387</v>
      </c>
      <c r="F12" s="6" t="s">
        <v>388</v>
      </c>
    </row>
    <row r="13" customFormat="false" ht="45.75" hidden="false" customHeight="true" outlineLevel="0" collapsed="false">
      <c r="A13" s="4" t="n">
        <v>6</v>
      </c>
      <c r="B13" s="5" t="s">
        <v>389</v>
      </c>
      <c r="C13" s="6" t="s">
        <v>390</v>
      </c>
      <c r="D13" s="6" t="s">
        <v>391</v>
      </c>
      <c r="E13" s="27" t="s">
        <v>373</v>
      </c>
      <c r="F13" s="11" t="s">
        <v>392</v>
      </c>
    </row>
    <row r="14" customFormat="false" ht="45.75" hidden="false" customHeight="true" outlineLevel="0" collapsed="false">
      <c r="A14" s="4" t="n">
        <v>7</v>
      </c>
      <c r="B14" s="5" t="s">
        <v>393</v>
      </c>
      <c r="C14" s="6" t="s">
        <v>394</v>
      </c>
      <c r="D14" s="6" t="s">
        <v>395</v>
      </c>
      <c r="E14" s="28" t="s">
        <v>387</v>
      </c>
      <c r="F14" s="6" t="s">
        <v>388</v>
      </c>
    </row>
    <row r="15" customFormat="false" ht="45.75" hidden="false" customHeight="true" outlineLevel="0" collapsed="false">
      <c r="A15" s="4" t="n">
        <v>8</v>
      </c>
      <c r="B15" s="5" t="s">
        <v>396</v>
      </c>
      <c r="C15" s="6" t="s">
        <v>397</v>
      </c>
      <c r="D15" s="6" t="s">
        <v>398</v>
      </c>
      <c r="E15" s="27" t="s">
        <v>399</v>
      </c>
      <c r="F15" s="11" t="s">
        <v>400</v>
      </c>
    </row>
    <row r="16" customFormat="false" ht="45.75" hidden="false" customHeight="true" outlineLevel="0" collapsed="false">
      <c r="A16" s="4" t="n">
        <v>9</v>
      </c>
      <c r="B16" s="5" t="s">
        <v>401</v>
      </c>
      <c r="C16" s="6" t="s">
        <v>402</v>
      </c>
      <c r="D16" s="6" t="s">
        <v>403</v>
      </c>
      <c r="E16" s="27" t="s">
        <v>404</v>
      </c>
      <c r="F16" s="11" t="s">
        <v>405</v>
      </c>
    </row>
    <row r="17" customFormat="false" ht="45.75" hidden="false" customHeight="true" outlineLevel="0" collapsed="false">
      <c r="A17" s="4" t="n">
        <v>10</v>
      </c>
      <c r="B17" s="5" t="s">
        <v>406</v>
      </c>
      <c r="C17" s="6" t="s">
        <v>407</v>
      </c>
      <c r="D17" s="6" t="s">
        <v>45</v>
      </c>
      <c r="E17" s="27" t="s">
        <v>373</v>
      </c>
      <c r="F17" s="11" t="s">
        <v>408</v>
      </c>
    </row>
    <row r="18" customFormat="false" ht="45.75" hidden="false" customHeight="true" outlineLevel="0" collapsed="false">
      <c r="A18" s="4" t="n">
        <v>11</v>
      </c>
      <c r="B18" s="5" t="s">
        <v>409</v>
      </c>
      <c r="C18" s="6" t="s">
        <v>410</v>
      </c>
      <c r="D18" s="6" t="s">
        <v>411</v>
      </c>
      <c r="E18" s="27" t="s">
        <v>412</v>
      </c>
      <c r="F18" s="11" t="s">
        <v>413</v>
      </c>
    </row>
    <row r="19" customFormat="false" ht="45.75" hidden="false" customHeight="true" outlineLevel="0" collapsed="false">
      <c r="A19" s="4" t="n">
        <v>12</v>
      </c>
      <c r="B19" s="5" t="s">
        <v>414</v>
      </c>
      <c r="C19" s="6" t="s">
        <v>415</v>
      </c>
      <c r="D19" s="6" t="s">
        <v>416</v>
      </c>
      <c r="E19" s="27" t="s">
        <v>417</v>
      </c>
      <c r="F19" s="11" t="s">
        <v>418</v>
      </c>
    </row>
    <row r="20" customFormat="false" ht="45.75" hidden="false" customHeight="true" outlineLevel="0" collapsed="false">
      <c r="A20" s="4" t="n">
        <v>13</v>
      </c>
      <c r="B20" s="5" t="s">
        <v>419</v>
      </c>
      <c r="C20" s="6" t="s">
        <v>420</v>
      </c>
      <c r="D20" s="6" t="s">
        <v>421</v>
      </c>
      <c r="E20" s="27" t="s">
        <v>422</v>
      </c>
      <c r="F20" s="11" t="s">
        <v>423</v>
      </c>
    </row>
    <row r="21" customFormat="false" ht="45.75" hidden="false" customHeight="true" outlineLevel="0" collapsed="false">
      <c r="A21" s="4" t="n">
        <v>14</v>
      </c>
      <c r="B21" s="5" t="s">
        <v>424</v>
      </c>
      <c r="C21" s="6" t="s">
        <v>425</v>
      </c>
      <c r="D21" s="6" t="s">
        <v>426</v>
      </c>
      <c r="E21" s="28" t="s">
        <v>373</v>
      </c>
      <c r="F21" s="6" t="s">
        <v>427</v>
      </c>
    </row>
    <row r="23" customFormat="false" ht="15" hidden="false" customHeight="false" outlineLevel="0" collapsed="false">
      <c r="A23" s="20" t="s">
        <v>428</v>
      </c>
    </row>
    <row r="24" customFormat="false" ht="15" hidden="false" customHeight="true" outlineLevel="0" collapsed="false">
      <c r="A24" s="6" t="s">
        <v>429</v>
      </c>
      <c r="B24" s="6"/>
      <c r="C24" s="6"/>
      <c r="D24" s="6"/>
      <c r="E24" s="6"/>
      <c r="F24" s="6"/>
    </row>
    <row r="25" customFormat="false" ht="15" hidden="false" customHeight="true" outlineLevel="0" collapsed="false">
      <c r="A25" s="6" t="s">
        <v>430</v>
      </c>
      <c r="B25" s="6"/>
      <c r="C25" s="6"/>
      <c r="D25" s="6"/>
      <c r="E25" s="6"/>
      <c r="F25" s="6"/>
    </row>
    <row r="26" customFormat="false" ht="15" hidden="false" customHeight="true" outlineLevel="0" collapsed="false">
      <c r="A26" s="6" t="s">
        <v>431</v>
      </c>
      <c r="B26" s="6"/>
      <c r="C26" s="6"/>
      <c r="D26" s="6"/>
      <c r="E26" s="6"/>
      <c r="F26" s="6"/>
    </row>
    <row r="27" customFormat="false" ht="15" hidden="false" customHeight="true" outlineLevel="0" collapsed="false">
      <c r="A27" s="6" t="s">
        <v>432</v>
      </c>
      <c r="B27" s="6"/>
      <c r="C27" s="6"/>
      <c r="D27" s="6"/>
      <c r="E27" s="6"/>
      <c r="F27" s="6"/>
    </row>
    <row r="28" customFormat="false" ht="15" hidden="false" customHeight="true" outlineLevel="0" collapsed="false">
      <c r="A28" s="6" t="s">
        <v>433</v>
      </c>
      <c r="B28" s="6"/>
      <c r="C28" s="6"/>
      <c r="D28" s="6"/>
      <c r="E28" s="6"/>
      <c r="F28" s="6"/>
    </row>
  </sheetData>
  <mergeCells count="7">
    <mergeCell ref="A2:F2"/>
    <mergeCell ref="A4:F4"/>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2026-08-17T03:04:12Z</dcterms:created>
  <dc:creator>openpyxl</dc:creator>
  <dc:description/>
  <dc:language>en-US</dc:language>
  <cp:lastModifiedBy/>
  <dcterms:modified xsi:type="dcterms:W3CDTF">2026-08-17T03:04:12Z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